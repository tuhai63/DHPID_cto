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workbookProtection workbookPassword="EB8B" lockStructure="1"/>
  <bookViews>
    <workbookView xWindow="252" yWindow="900" windowWidth="20616" windowHeight="11640" activeTab="1"/>
  </bookViews>
  <sheets>
    <sheet name="CTO Inspection English" sheetId="6" r:id="rId1"/>
    <sheet name="IID English" sheetId="4" r:id="rId2"/>
    <sheet name="Variables" sheetId="2" state="hidden" r:id="rId3"/>
    <sheet name="Sheet1" sheetId="7" state="hidden" r:id="rId4"/>
    <sheet name="Sheet2" sheetId="8" state="hidden" r:id="rId5"/>
    <sheet name="Sheet3" sheetId="9" state="hidden" r:id="rId6"/>
    <sheet name="Sheet4" sheetId="10" state="hidden" r:id="rId7"/>
  </sheets>
  <definedNames>
    <definedName name="Activities_English_Choices">Variables!$FZ$2:$FZ$10</definedName>
    <definedName name="Activities_English_Text">INDEX(Activities_English_Choices, MATCH(TRUE, INDEX(Activities_French_Choices=#REF!, 0), 0), 1)</definedName>
    <definedName name="Activities_French_Choices">Variables!$GA$2:$GA$10</definedName>
    <definedName name="Activities_French_Text">INDEX(Activities_French_Choices, MATCH(TRUE, INDEX(Activities_English_Choices='CTO Inspection English'!XFD1, 0), 0), 1)</definedName>
    <definedName name="Currently_Registered">Variables!$EQ$2:$EQ$3</definedName>
    <definedName name="Deficiency_English_Choices">Variables!$EW$2:$FG$7</definedName>
    <definedName name="Deficiency_English_List">OFFSET(Deficiency_English_List_Choices, 0,0,COUNTA(Deficiency_English_List_Choices),1)</definedName>
    <definedName name="Deficiency_English_List_Choices">INDEX(Deficiency_English_Choices, 0, MATCH('IID English'!XFC1,Inspection_Regulation_English_Choices, 0))</definedName>
    <definedName name="Deficiency_English_Text">INDEX(Line_Deficiency_English_Choices, MATCH(TRUE, INDEX(Line_Deficiency_French_Choices='IID English'!#REF!, 0), 0), 1)</definedName>
    <definedName name="Deficiency_French_Choices">Variables!$FI$2:$FS$7</definedName>
    <definedName name="Deficiency_French_List">OFFSET(Deficiency_French_List_Choices, 0, 0,COUNTA(Deficiency_French_List_Choices), 1)</definedName>
    <definedName name="Deficiency_French_List_Choices">INDEX(Deficiency_French_Choices, MATCH(TRUE, INDEX(Inspection_Regulation_French_Choices=#REF!, 0), 0), 1)</definedName>
    <definedName name="Deficiency_French_Text">INDEX(Line_Deficiency_French_Choices, MATCH(TRUE, INDEX(Line_Deficiency_English_Choices='IID English'!XFD1, 0), 0), 1)</definedName>
    <definedName name="Establishment_Name_Choices">Variables!$F$2:$F$113</definedName>
    <definedName name="Inspection_Outcome_English_Choices">Variables!$FV$2:$FV$5</definedName>
    <definedName name="Inspection_Outcome_English_Text">INDEX(Inspection_Outcome_English_Choices, MATCH(TRUE, INDEX(Inspection_Outcome_French_Choices=#REF!, 0), 0), 1)</definedName>
    <definedName name="Inspection_Outcome_French_Choices">Variables!$FW$2:$FW$5</definedName>
    <definedName name="Inspection_Outcome_French_Text">INDEX(Inspection_Outcome_French_Choices, MATCH(TRUE, INDEX(Inspection_Outcome_English_Choices=#REF!, 0), 0), 1)</definedName>
    <definedName name="Inspection_Regulation_English_Choices">Variables!$EU$2:$EU$12</definedName>
    <definedName name="Inspection_Regulation_English_Text">INDEX(Inspection_Regulation_English_Choices, MATCH(TRUE, INDEX(Inspection_Regulation_French_Choices=#REF!, 0), 0), 1)</definedName>
    <definedName name="Inspection_Regulation_French_Choices">Variables!$EV$2:$EV$12</definedName>
    <definedName name="Inspection_Regulation_French_Text">INDEX(Inspection_Regulation_French_Choices, MATCH(TRUE, INDEX(Inspection_Regulation_English_Choices='IID English'!XFD1, 0), 0), 1)</definedName>
    <definedName name="Inspection_Type_English_Choices">Variables!$D$2:$D$4</definedName>
    <definedName name="Inspection_Type_FR">Variables!$E$2:$E$4</definedName>
    <definedName name="Inspection_Type_French_Choices">Variables!$E$2:$E$4</definedName>
    <definedName name="Line_Deficiency_English_Choices">Variables!$FT$2:$FT$24</definedName>
    <definedName name="Line_Deficiency_French_Choices">Variables!$FU$2:$FU$24</definedName>
    <definedName name="Line_English_Choices">Variables!$EO$2:$EO$157</definedName>
    <definedName name="Line_French_Choices">Variables!$EP$2:$EP$157</definedName>
    <definedName name="Measure_Taken_English_Choices">Variables!$FX$2:$FX$18</definedName>
    <definedName name="Measure_Taken_English_Text">INDEX(Measure_Taken_English_Choices, MATCH(TRUE, INDEX(Measure_Taken_French_Choices=#REF!, 0), 0), 1)</definedName>
    <definedName name="Measure_Taken_French_Choices">Variables!$FY$2:$FY$18</definedName>
    <definedName name="Measure_Taken_French_Text">INDEX(Measure_Taken_French_Choices, MATCH(TRUE, INDEX(Measure_Taken_English_Choices=#REF!, 0), 0), 1)</definedName>
    <definedName name="Observation_English_Choices">Variables!$L$2:$BY$14</definedName>
    <definedName name="Observation_English_List">OFFSET(Observation_English_List_Choices, 0,0,COUNTA(Observation_English_List_Choices),1)</definedName>
    <definedName name="Observation_English_List_Choices">INDEX(Observation_English_Choices, 0, MATCH(#REF!, Regulation_English_Choices, 0))</definedName>
    <definedName name="Observation_English_Text">INDEX(Line_English_Choices, MATCH(TRUE, INDEX(Line_French_Choices=#REF!, 0), 0), 1)</definedName>
    <definedName name="Observation_French_Choices">Variables!$CA$2:$EN$14</definedName>
    <definedName name="Observation_French_List">OFFSET(Observation_French_List_Choices, 0,0,COUNTA(Observation_French_List_Choices),1)</definedName>
    <definedName name="Observation_French_List_Choices">INDEX(Observation_French_Choices, 0, MATCH(#REF!, Regulation_French_Choices, 0))</definedName>
    <definedName name="Observation_French_Text">INDEX(Line_French_Choices, MATCH(TRUE, INDEX(Line_English_Choices=#REF!, 0), 0), 1)</definedName>
    <definedName name="Phase_of_Trial_Choices">Variables!$C$2:$C$11</definedName>
    <definedName name="Rating_English_Choices">Variables!$G$2:$G$4</definedName>
    <definedName name="Rating_French_Choices">Variables!$H$2:$H$4</definedName>
    <definedName name="Regional_Site_Inspected_English_Choices">Variables!$DF$2:$DF$7</definedName>
    <definedName name="Regional_Site_Inspected_French_Choices">Variables!$DG$2:$DG$7</definedName>
    <definedName name="Regulation_English_Choices">Variables!$K$2:$K$67</definedName>
    <definedName name="Regulation_English_Text">INDEX(Regulation_English_Choices, MATCH(TRUE, INDEX(Regulation_French_Choices=#REF!, 0), 0), 1)</definedName>
    <definedName name="Regulation_French_Choices">Variables!$BZ$2:$BZ$67</definedName>
    <definedName name="Regulation_French_Text">INDEX(Regulation_French_Choices, MATCH(TRUE, INDEX(Regulation_English_Choices=#REF!, 0), 0), 1)</definedName>
  </definedNames>
  <calcPr calcId="145621"/>
</workbook>
</file>

<file path=xl/calcChain.xml><?xml version="1.0" encoding="utf-8"?>
<calcChain xmlns="http://schemas.openxmlformats.org/spreadsheetml/2006/main">
  <c r="J100" i="4" l="1"/>
  <c r="H100" i="4"/>
  <c r="G100" i="4"/>
  <c r="F100" i="4"/>
  <c r="E100" i="4"/>
  <c r="C100" i="4"/>
  <c r="B100" i="4"/>
  <c r="A100" i="4"/>
  <c r="J99" i="4"/>
  <c r="H99" i="4"/>
  <c r="G99" i="4"/>
  <c r="F99" i="4"/>
  <c r="E99" i="4"/>
  <c r="C99" i="4"/>
  <c r="B99" i="4"/>
  <c r="A99" i="4"/>
  <c r="J98" i="4"/>
  <c r="H98" i="4"/>
  <c r="G98" i="4"/>
  <c r="F98" i="4"/>
  <c r="E98" i="4"/>
  <c r="C98" i="4"/>
  <c r="B98" i="4"/>
  <c r="A98" i="4"/>
  <c r="J97" i="4"/>
  <c r="H97" i="4"/>
  <c r="G97" i="4"/>
  <c r="F97" i="4"/>
  <c r="E97" i="4"/>
  <c r="C97" i="4"/>
  <c r="B97" i="4"/>
  <c r="A97" i="4"/>
  <c r="J96" i="4"/>
  <c r="H96" i="4"/>
  <c r="G96" i="4"/>
  <c r="F96" i="4"/>
  <c r="E96" i="4"/>
  <c r="C96" i="4"/>
  <c r="B96" i="4"/>
  <c r="A96" i="4"/>
  <c r="J95" i="4"/>
  <c r="H95" i="4"/>
  <c r="G95" i="4"/>
  <c r="F95" i="4"/>
  <c r="E95" i="4"/>
  <c r="C95" i="4"/>
  <c r="B95" i="4"/>
  <c r="A95" i="4"/>
  <c r="J94" i="4"/>
  <c r="H94" i="4"/>
  <c r="G94" i="4"/>
  <c r="F94" i="4"/>
  <c r="E94" i="4"/>
  <c r="C94" i="4"/>
  <c r="B94" i="4"/>
  <c r="A94" i="4"/>
  <c r="J93" i="4"/>
  <c r="H93" i="4"/>
  <c r="G93" i="4"/>
  <c r="F93" i="4"/>
  <c r="A93" i="4"/>
  <c r="J92" i="4"/>
  <c r="H92" i="4"/>
  <c r="G92" i="4"/>
  <c r="F92" i="4"/>
  <c r="A92" i="4"/>
  <c r="J91" i="4"/>
  <c r="H91" i="4"/>
  <c r="G91" i="4"/>
  <c r="F91" i="4"/>
  <c r="A91" i="4"/>
  <c r="J90" i="4"/>
  <c r="G90" i="4"/>
  <c r="F90" i="4"/>
  <c r="A90" i="4"/>
  <c r="J89" i="4"/>
  <c r="G89" i="4"/>
  <c r="F89" i="4"/>
  <c r="E89" i="4"/>
  <c r="E90" i="4" s="1"/>
  <c r="E91" i="4" s="1"/>
  <c r="E92" i="4" s="1"/>
  <c r="E93" i="4" s="1"/>
  <c r="A89" i="4"/>
  <c r="J88" i="4"/>
  <c r="G88" i="4"/>
  <c r="A88" i="4"/>
  <c r="J87" i="4"/>
  <c r="G87" i="4"/>
  <c r="A87" i="4"/>
  <c r="J86" i="4"/>
  <c r="G86" i="4"/>
  <c r="A86" i="4"/>
  <c r="J85" i="4"/>
  <c r="G85" i="4"/>
  <c r="A85" i="4"/>
  <c r="J84" i="4"/>
  <c r="G84" i="4"/>
  <c r="A84" i="4"/>
  <c r="J83" i="4"/>
  <c r="G83" i="4"/>
  <c r="A83" i="4"/>
  <c r="J82" i="4"/>
  <c r="G82" i="4"/>
  <c r="A82" i="4"/>
  <c r="J81" i="4"/>
  <c r="G81" i="4"/>
  <c r="A81" i="4"/>
  <c r="J80" i="4"/>
  <c r="G80" i="4"/>
  <c r="A80" i="4"/>
  <c r="J79" i="4"/>
  <c r="G79" i="4"/>
  <c r="A79" i="4"/>
  <c r="J78" i="4"/>
  <c r="G78" i="4"/>
  <c r="A78" i="4"/>
  <c r="J77" i="4"/>
  <c r="G77" i="4"/>
  <c r="A77" i="4"/>
  <c r="J76" i="4"/>
  <c r="G76" i="4"/>
  <c r="A76" i="4"/>
  <c r="J75" i="4"/>
  <c r="G75" i="4"/>
  <c r="A75" i="4"/>
  <c r="J74" i="4"/>
  <c r="G74" i="4"/>
  <c r="A74" i="4"/>
  <c r="J73" i="4"/>
  <c r="G73" i="4"/>
  <c r="A73" i="4"/>
  <c r="J72" i="4"/>
  <c r="G72" i="4"/>
  <c r="A72" i="4"/>
  <c r="J71" i="4"/>
  <c r="G71" i="4"/>
  <c r="A71" i="4"/>
  <c r="J70" i="4"/>
  <c r="G70" i="4"/>
  <c r="A70" i="4"/>
  <c r="J69" i="4"/>
  <c r="G69" i="4"/>
  <c r="A69" i="4"/>
  <c r="J68" i="4"/>
  <c r="G68" i="4"/>
  <c r="A68" i="4"/>
  <c r="J67" i="4"/>
  <c r="G67" i="4"/>
  <c r="A67" i="4"/>
  <c r="J66" i="4"/>
  <c r="G66" i="4"/>
  <c r="A66" i="4"/>
  <c r="J65" i="4"/>
  <c r="G65" i="4"/>
  <c r="A65" i="4"/>
  <c r="J64" i="4"/>
  <c r="G64" i="4"/>
  <c r="A64" i="4"/>
  <c r="J63" i="4"/>
  <c r="G63" i="4"/>
  <c r="A63" i="4"/>
  <c r="J62" i="4"/>
  <c r="G62" i="4"/>
  <c r="A62" i="4"/>
  <c r="J61" i="4"/>
  <c r="G61" i="4"/>
  <c r="A61" i="4"/>
  <c r="J60" i="4"/>
  <c r="G60" i="4"/>
  <c r="A60" i="4"/>
  <c r="J59" i="4"/>
  <c r="F59" i="4"/>
  <c r="F60" i="4" s="1"/>
  <c r="F61" i="4" s="1"/>
  <c r="F62" i="4" s="1"/>
  <c r="F63" i="4" s="1"/>
  <c r="F64" i="4" s="1"/>
  <c r="F65" i="4" s="1"/>
  <c r="F66" i="4" s="1"/>
  <c r="F67" i="4" s="1"/>
  <c r="F68" i="4" s="1"/>
  <c r="F69" i="4" s="1"/>
  <c r="F70" i="4" s="1"/>
  <c r="F71" i="4" s="1"/>
  <c r="F72" i="4" s="1"/>
  <c r="F73" i="4" s="1"/>
  <c r="F74" i="4" s="1"/>
  <c r="F75" i="4" s="1"/>
  <c r="F76" i="4" s="1"/>
  <c r="F77" i="4" s="1"/>
  <c r="F78" i="4" s="1"/>
  <c r="F79" i="4" s="1"/>
  <c r="F80" i="4" s="1"/>
  <c r="F81" i="4" s="1"/>
  <c r="F82" i="4" s="1"/>
  <c r="F83" i="4" s="1"/>
  <c r="F84" i="4" s="1"/>
  <c r="F85" i="4" s="1"/>
  <c r="F86" i="4" s="1"/>
  <c r="F87" i="4" s="1"/>
  <c r="F88" i="4" s="1"/>
  <c r="E59" i="4"/>
  <c r="E60" i="4" s="1"/>
  <c r="E61" i="4" s="1"/>
  <c r="E62" i="4" s="1"/>
  <c r="E63" i="4" s="1"/>
  <c r="E64" i="4" s="1"/>
  <c r="E65" i="4" s="1"/>
  <c r="E66" i="4" s="1"/>
  <c r="E67" i="4" s="1"/>
  <c r="E68" i="4" s="1"/>
  <c r="E69" i="4" s="1"/>
  <c r="E70" i="4" s="1"/>
  <c r="E71" i="4" s="1"/>
  <c r="E72" i="4" s="1"/>
  <c r="E73" i="4" s="1"/>
  <c r="E74" i="4" s="1"/>
  <c r="E75" i="4" s="1"/>
  <c r="E76" i="4" s="1"/>
  <c r="E77" i="4" s="1"/>
  <c r="E78" i="4" s="1"/>
  <c r="E79" i="4" s="1"/>
  <c r="E80" i="4" s="1"/>
  <c r="E81" i="4" s="1"/>
  <c r="E82" i="4" s="1"/>
  <c r="E83" i="4" s="1"/>
  <c r="E84" i="4" s="1"/>
  <c r="E85" i="4" s="1"/>
  <c r="E86" i="4" s="1"/>
  <c r="E87" i="4" s="1"/>
  <c r="E88" i="4" s="1"/>
  <c r="D59" i="4"/>
  <c r="D60" i="4" s="1"/>
  <c r="D61" i="4" s="1"/>
  <c r="D62" i="4" s="1"/>
  <c r="D63" i="4" s="1"/>
  <c r="D64" i="4" s="1"/>
  <c r="D65" i="4" s="1"/>
  <c r="D66" i="4" s="1"/>
  <c r="D67" i="4" s="1"/>
  <c r="D68" i="4" s="1"/>
  <c r="D69" i="4" s="1"/>
  <c r="D70" i="4" s="1"/>
  <c r="D71" i="4" s="1"/>
  <c r="D72" i="4" s="1"/>
  <c r="D73" i="4" s="1"/>
  <c r="D74" i="4" s="1"/>
  <c r="D75" i="4" s="1"/>
  <c r="D76" i="4" s="1"/>
  <c r="D77" i="4" s="1"/>
  <c r="D78" i="4" s="1"/>
  <c r="D79" i="4" s="1"/>
  <c r="D80" i="4" s="1"/>
  <c r="D81" i="4" s="1"/>
  <c r="D82" i="4" s="1"/>
  <c r="D83" i="4" s="1"/>
  <c r="D84" i="4" s="1"/>
  <c r="D85" i="4" s="1"/>
  <c r="D86" i="4" s="1"/>
  <c r="D87" i="4" s="1"/>
  <c r="D88" i="4" s="1"/>
  <c r="D89" i="4" s="1"/>
  <c r="D90" i="4" s="1"/>
  <c r="D91" i="4" s="1"/>
  <c r="D92" i="4" s="1"/>
  <c r="D93" i="4" s="1"/>
  <c r="D94" i="4" s="1"/>
  <c r="D95" i="4" s="1"/>
  <c r="D96" i="4" s="1"/>
  <c r="D97" i="4" s="1"/>
  <c r="D98" i="4" s="1"/>
  <c r="D99" i="4" s="1"/>
  <c r="D100" i="4" s="1"/>
  <c r="C59" i="4"/>
  <c r="C60" i="4" s="1"/>
  <c r="C61" i="4" s="1"/>
  <c r="C62" i="4" s="1"/>
  <c r="C63" i="4" s="1"/>
  <c r="C64" i="4" s="1"/>
  <c r="C65" i="4" s="1"/>
  <c r="C66" i="4" s="1"/>
  <c r="C67" i="4" s="1"/>
  <c r="C68" i="4" s="1"/>
  <c r="C69" i="4" s="1"/>
  <c r="C70" i="4" s="1"/>
  <c r="C71" i="4" s="1"/>
  <c r="C72" i="4" s="1"/>
  <c r="C73" i="4" s="1"/>
  <c r="C74" i="4" s="1"/>
  <c r="C75" i="4" s="1"/>
  <c r="C76" i="4" s="1"/>
  <c r="C77" i="4" s="1"/>
  <c r="C78" i="4" s="1"/>
  <c r="C79" i="4" s="1"/>
  <c r="C80" i="4" s="1"/>
  <c r="C81" i="4" s="1"/>
  <c r="C82" i="4" s="1"/>
  <c r="C83" i="4" s="1"/>
  <c r="C84" i="4" s="1"/>
  <c r="C85" i="4" s="1"/>
  <c r="C86" i="4" s="1"/>
  <c r="C87" i="4" s="1"/>
  <c r="C88" i="4" s="1"/>
  <c r="C89" i="4" s="1"/>
  <c r="C90" i="4" s="1"/>
  <c r="C91" i="4" s="1"/>
  <c r="C92" i="4" s="1"/>
  <c r="C93" i="4" s="1"/>
  <c r="B59" i="4"/>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A59" i="4"/>
  <c r="J58" i="4"/>
  <c r="F58" i="4"/>
  <c r="E58" i="4"/>
  <c r="D58" i="4"/>
  <c r="C58" i="4"/>
  <c r="B58" i="4"/>
  <c r="A58" i="4"/>
  <c r="J57" i="4"/>
  <c r="F57" i="4"/>
  <c r="E57" i="4"/>
  <c r="D57" i="4"/>
  <c r="C57" i="4"/>
  <c r="B57" i="4"/>
  <c r="A57" i="4"/>
  <c r="J56" i="4"/>
  <c r="F56" i="4"/>
  <c r="E56" i="4"/>
  <c r="D56" i="4"/>
  <c r="C56" i="4"/>
  <c r="B56" i="4"/>
  <c r="A56" i="4"/>
  <c r="J55" i="4"/>
  <c r="F55" i="4"/>
  <c r="E55" i="4"/>
  <c r="D55" i="4"/>
  <c r="C55" i="4"/>
  <c r="B55" i="4"/>
  <c r="A55" i="4"/>
  <c r="J54" i="4"/>
  <c r="F54" i="4"/>
  <c r="E54" i="4"/>
  <c r="D54" i="4"/>
  <c r="C54" i="4"/>
  <c r="B54" i="4"/>
  <c r="A54" i="4"/>
  <c r="J53" i="4"/>
  <c r="F53" i="4"/>
  <c r="E53" i="4"/>
  <c r="D53" i="4"/>
  <c r="C53" i="4"/>
  <c r="B53" i="4"/>
  <c r="A53" i="4"/>
  <c r="J52" i="4"/>
  <c r="F52" i="4"/>
  <c r="E52" i="4"/>
  <c r="D52" i="4"/>
  <c r="C52" i="4"/>
  <c r="B52" i="4"/>
  <c r="A52" i="4"/>
  <c r="J51" i="4"/>
  <c r="F51" i="4"/>
  <c r="E51" i="4"/>
  <c r="D51" i="4"/>
  <c r="C51" i="4"/>
  <c r="B51" i="4"/>
  <c r="A51" i="4"/>
  <c r="J50" i="4"/>
  <c r="F50" i="4"/>
  <c r="E50" i="4"/>
  <c r="D50" i="4"/>
  <c r="C50" i="4"/>
  <c r="B50" i="4"/>
  <c r="A50" i="4"/>
  <c r="J49" i="4"/>
  <c r="F49" i="4"/>
  <c r="E49" i="4"/>
  <c r="D49" i="4"/>
  <c r="C49" i="4"/>
  <c r="B49" i="4"/>
  <c r="A49" i="4"/>
  <c r="J48" i="4"/>
  <c r="F48" i="4"/>
  <c r="E48" i="4"/>
  <c r="D48" i="4"/>
  <c r="C48" i="4"/>
  <c r="B48" i="4"/>
  <c r="A48" i="4"/>
  <c r="J47" i="4"/>
  <c r="F47" i="4"/>
  <c r="E47" i="4"/>
  <c r="D47" i="4"/>
  <c r="C47" i="4"/>
  <c r="B47" i="4"/>
  <c r="A47" i="4"/>
  <c r="J46" i="4"/>
  <c r="F46" i="4"/>
  <c r="E46" i="4"/>
  <c r="D46" i="4"/>
  <c r="C46" i="4"/>
  <c r="B46" i="4"/>
  <c r="A46" i="4"/>
  <c r="J45" i="4"/>
  <c r="F45" i="4"/>
  <c r="E45" i="4"/>
  <c r="D45" i="4"/>
  <c r="C45" i="4"/>
  <c r="B45" i="4"/>
  <c r="A45" i="4"/>
  <c r="J44" i="4"/>
  <c r="F44" i="4"/>
  <c r="E44" i="4"/>
  <c r="D44" i="4"/>
  <c r="C44" i="4"/>
  <c r="B44" i="4"/>
  <c r="A44" i="4"/>
  <c r="J43" i="4"/>
  <c r="F43" i="4"/>
  <c r="E43" i="4"/>
  <c r="D43" i="4"/>
  <c r="C43" i="4"/>
  <c r="B43" i="4"/>
  <c r="A43" i="4"/>
  <c r="J42" i="4"/>
  <c r="F42" i="4"/>
  <c r="E42" i="4"/>
  <c r="D42" i="4"/>
  <c r="C42" i="4"/>
  <c r="B42" i="4"/>
  <c r="A42" i="4"/>
  <c r="J41" i="4"/>
  <c r="F41" i="4"/>
  <c r="E41" i="4"/>
  <c r="D41" i="4"/>
  <c r="C41" i="4"/>
  <c r="B41" i="4"/>
  <c r="A41" i="4"/>
  <c r="J40" i="4"/>
  <c r="F40" i="4"/>
  <c r="E40" i="4"/>
  <c r="D40" i="4"/>
  <c r="C40" i="4"/>
  <c r="B40" i="4"/>
  <c r="A40" i="4"/>
  <c r="J39" i="4"/>
  <c r="F39" i="4"/>
  <c r="E39" i="4"/>
  <c r="D39" i="4"/>
  <c r="C39" i="4"/>
  <c r="B39" i="4"/>
  <c r="A39" i="4"/>
  <c r="J38" i="4"/>
  <c r="F38" i="4"/>
  <c r="E38" i="4"/>
  <c r="D38" i="4"/>
  <c r="C38" i="4"/>
  <c r="B38" i="4"/>
  <c r="A38" i="4"/>
  <c r="J37" i="4"/>
  <c r="F37" i="4"/>
  <c r="E37" i="4"/>
  <c r="D37" i="4"/>
  <c r="C37" i="4"/>
  <c r="B37" i="4"/>
  <c r="A37" i="4"/>
  <c r="J36" i="4"/>
  <c r="F36" i="4"/>
  <c r="E36" i="4"/>
  <c r="D36" i="4"/>
  <c r="C36" i="4"/>
  <c r="B36" i="4"/>
  <c r="A36" i="4"/>
  <c r="J35" i="4"/>
  <c r="F35" i="4"/>
  <c r="E35" i="4"/>
  <c r="D35" i="4"/>
  <c r="C35" i="4"/>
  <c r="B35" i="4"/>
  <c r="A35" i="4"/>
  <c r="J34" i="4"/>
  <c r="F34" i="4"/>
  <c r="E34" i="4"/>
  <c r="D34" i="4"/>
  <c r="C34" i="4"/>
  <c r="B34" i="4"/>
  <c r="A34" i="4"/>
  <c r="J33" i="4"/>
  <c r="F33" i="4"/>
  <c r="E33" i="4"/>
  <c r="D33" i="4"/>
  <c r="C33" i="4"/>
  <c r="B33" i="4"/>
  <c r="A33" i="4"/>
  <c r="J32" i="4"/>
  <c r="F32" i="4"/>
  <c r="E32" i="4"/>
  <c r="D32" i="4"/>
  <c r="C32" i="4"/>
  <c r="B32" i="4"/>
  <c r="A32" i="4"/>
  <c r="J31" i="4"/>
  <c r="F31" i="4"/>
  <c r="E31" i="4"/>
  <c r="D31" i="4"/>
  <c r="C31" i="4"/>
  <c r="B31" i="4"/>
  <c r="A31" i="4"/>
  <c r="J30" i="4"/>
  <c r="F30" i="4"/>
  <c r="E30" i="4"/>
  <c r="D30" i="4"/>
  <c r="C30" i="4"/>
  <c r="B30" i="4"/>
  <c r="A30" i="4"/>
  <c r="J29" i="4"/>
  <c r="F29" i="4"/>
  <c r="E29" i="4"/>
  <c r="D29" i="4"/>
  <c r="C29" i="4"/>
  <c r="B29" i="4"/>
  <c r="A29" i="4"/>
  <c r="J28" i="4"/>
  <c r="F28" i="4"/>
  <c r="E28" i="4"/>
  <c r="D28" i="4"/>
  <c r="C28" i="4"/>
  <c r="B28" i="4"/>
  <c r="A28" i="4"/>
  <c r="J27" i="4"/>
  <c r="F27" i="4"/>
  <c r="E27" i="4"/>
  <c r="D27" i="4"/>
  <c r="C27" i="4"/>
  <c r="B27" i="4"/>
  <c r="A27" i="4"/>
  <c r="J26" i="4"/>
  <c r="F26" i="4"/>
  <c r="E26" i="4"/>
  <c r="D26" i="4"/>
  <c r="C26" i="4"/>
  <c r="B26" i="4"/>
  <c r="A26" i="4"/>
  <c r="J25" i="4"/>
  <c r="F25" i="4"/>
  <c r="E25" i="4"/>
  <c r="D25" i="4"/>
  <c r="C25" i="4"/>
  <c r="B25" i="4"/>
  <c r="A25" i="4"/>
  <c r="J24" i="4"/>
  <c r="F24" i="4"/>
  <c r="E24" i="4"/>
  <c r="D24" i="4"/>
  <c r="C24" i="4"/>
  <c r="B24" i="4"/>
  <c r="A24" i="4"/>
  <c r="J23" i="4"/>
  <c r="F23" i="4"/>
  <c r="E23" i="4"/>
  <c r="D23" i="4"/>
  <c r="C23" i="4"/>
  <c r="B23" i="4"/>
  <c r="A23" i="4"/>
  <c r="J22" i="4"/>
  <c r="F22" i="4"/>
  <c r="E22" i="4"/>
  <c r="D22" i="4"/>
  <c r="C22" i="4"/>
  <c r="B22" i="4"/>
  <c r="A22" i="4"/>
  <c r="J21" i="4"/>
  <c r="F21" i="4"/>
  <c r="E21" i="4"/>
  <c r="D21" i="4"/>
  <c r="C21" i="4"/>
  <c r="B21" i="4"/>
  <c r="A21" i="4"/>
  <c r="J20" i="4"/>
  <c r="F20" i="4"/>
  <c r="E20" i="4"/>
  <c r="D20" i="4"/>
  <c r="C20" i="4"/>
  <c r="B20" i="4"/>
  <c r="A20" i="4"/>
  <c r="J19" i="4"/>
  <c r="F19" i="4"/>
  <c r="E19" i="4"/>
  <c r="D19" i="4"/>
  <c r="C19" i="4"/>
  <c r="B19" i="4"/>
  <c r="A19" i="4"/>
  <c r="J18" i="4"/>
  <c r="F18" i="4"/>
  <c r="E18" i="4"/>
  <c r="D18" i="4"/>
  <c r="C18" i="4"/>
  <c r="B18" i="4"/>
  <c r="A18" i="4"/>
  <c r="J17" i="4"/>
  <c r="F17" i="4"/>
  <c r="E17" i="4"/>
  <c r="D17" i="4"/>
  <c r="C17" i="4"/>
  <c r="B17" i="4"/>
  <c r="A17" i="4"/>
  <c r="J16" i="4"/>
  <c r="F16" i="4"/>
  <c r="E16" i="4"/>
  <c r="D16" i="4"/>
  <c r="C16" i="4"/>
  <c r="B16" i="4"/>
  <c r="A16" i="4"/>
  <c r="J15" i="4"/>
  <c r="F15" i="4"/>
  <c r="E15" i="4"/>
  <c r="D15" i="4"/>
  <c r="C15" i="4"/>
  <c r="B15" i="4"/>
  <c r="A15" i="4"/>
  <c r="J14" i="4"/>
  <c r="F14" i="4"/>
  <c r="E14" i="4"/>
  <c r="D14" i="4"/>
  <c r="C14" i="4"/>
  <c r="B14" i="4"/>
  <c r="A14" i="4"/>
  <c r="L13" i="4"/>
  <c r="J13" i="4"/>
  <c r="F13" i="4"/>
  <c r="E13" i="4"/>
  <c r="D13" i="4"/>
  <c r="C13" i="4"/>
  <c r="B13" i="4"/>
  <c r="A13" i="4"/>
  <c r="L12" i="4"/>
  <c r="J12" i="4"/>
  <c r="F12" i="4"/>
  <c r="E12" i="4"/>
  <c r="D12" i="4"/>
  <c r="C12" i="4"/>
  <c r="B12" i="4"/>
  <c r="A12" i="4"/>
  <c r="L11" i="4"/>
  <c r="J11" i="4"/>
  <c r="F11" i="4"/>
  <c r="E11" i="4"/>
  <c r="D11" i="4"/>
  <c r="C11" i="4"/>
  <c r="B11" i="4"/>
  <c r="A11" i="4"/>
  <c r="L10" i="4"/>
  <c r="J10" i="4"/>
  <c r="F10" i="4"/>
  <c r="E10" i="4"/>
  <c r="D10" i="4"/>
  <c r="C10" i="4"/>
  <c r="B10" i="4"/>
  <c r="A10" i="4"/>
  <c r="L9" i="4"/>
  <c r="J9" i="4"/>
  <c r="F9" i="4"/>
  <c r="E9" i="4"/>
  <c r="D9" i="4"/>
  <c r="C9" i="4"/>
  <c r="B9" i="4"/>
  <c r="A9" i="4"/>
  <c r="L8" i="4"/>
  <c r="J8" i="4"/>
  <c r="F8" i="4"/>
  <c r="E8" i="4"/>
  <c r="D8" i="4"/>
  <c r="C8" i="4"/>
  <c r="B8" i="4"/>
  <c r="A8" i="4"/>
  <c r="L7" i="4"/>
  <c r="J7" i="4"/>
  <c r="F7" i="4"/>
  <c r="E7" i="4"/>
  <c r="D7" i="4"/>
  <c r="C7" i="4"/>
  <c r="B7" i="4"/>
  <c r="A7" i="4"/>
  <c r="L6" i="4"/>
  <c r="J6" i="4"/>
  <c r="F6" i="4"/>
  <c r="E6" i="4"/>
  <c r="D6" i="4"/>
  <c r="C6" i="4"/>
  <c r="B6" i="4"/>
  <c r="A6" i="4"/>
  <c r="L5" i="4"/>
  <c r="J5" i="4"/>
  <c r="F5" i="4"/>
  <c r="E5" i="4"/>
  <c r="D5" i="4"/>
  <c r="C5" i="4"/>
  <c r="B5" i="4"/>
  <c r="A5" i="4"/>
  <c r="L4" i="4"/>
  <c r="J4" i="4"/>
  <c r="F4" i="4"/>
  <c r="E4" i="4"/>
  <c r="D4" i="4"/>
  <c r="C4" i="4"/>
  <c r="B4" i="4"/>
  <c r="A4" i="4"/>
  <c r="L3" i="4"/>
  <c r="J3" i="4"/>
  <c r="F3" i="4"/>
  <c r="E3" i="4"/>
  <c r="D3" i="4"/>
  <c r="C3" i="4"/>
  <c r="B3" i="4"/>
  <c r="L2" i="4"/>
  <c r="J2" i="4"/>
  <c r="F2" i="4"/>
  <c r="E2" i="4"/>
  <c r="D2" i="4"/>
  <c r="C2" i="4"/>
  <c r="B2" i="4"/>
  <c r="A2" i="4"/>
  <c r="A3" i="4" s="1"/>
  <c r="P13" i="6"/>
  <c r="P12" i="6"/>
  <c r="P11" i="6"/>
  <c r="P10" i="6"/>
  <c r="P9" i="6"/>
  <c r="P8" i="6"/>
  <c r="P7" i="6"/>
  <c r="P6" i="6"/>
  <c r="P5" i="6"/>
  <c r="P4" i="6"/>
  <c r="P3" i="6"/>
  <c r="P2" i="6"/>
</calcChain>
</file>

<file path=xl/sharedStrings.xml><?xml version="1.0" encoding="utf-8"?>
<sst xmlns="http://schemas.openxmlformats.org/spreadsheetml/2006/main" count="2358" uniqueCount="1239">
  <si>
    <t>Control Number</t>
  </si>
  <si>
    <t>Inspection Start Date</t>
  </si>
  <si>
    <t>Establishment Name</t>
  </si>
  <si>
    <t>Order ID</t>
  </si>
  <si>
    <t>Sub Order ID</t>
  </si>
  <si>
    <t>Regulation (EN)</t>
  </si>
  <si>
    <t>Regulation (FR)</t>
  </si>
  <si>
    <t>Observation(EN)</t>
  </si>
  <si>
    <t>Observation(FR)</t>
  </si>
  <si>
    <t>InspectionOutcome(EN)</t>
  </si>
  <si>
    <t>MeasureTaken(EN)</t>
  </si>
  <si>
    <t>MeasureTaken(FR)</t>
  </si>
  <si>
    <t>C</t>
  </si>
  <si>
    <t>NC</t>
  </si>
  <si>
    <t>InspectionOutcome(FR)</t>
  </si>
  <si>
    <t>Hoffmann-La Roche Limited</t>
  </si>
  <si>
    <t>Novartis Pharmaceuticals Canada Inc</t>
  </si>
  <si>
    <t>Asahi Kasei Pharma America Corporation</t>
  </si>
  <si>
    <t>Aragon Pharmaceuticals</t>
  </si>
  <si>
    <t>Servier Canada Inc</t>
  </si>
  <si>
    <t>Rick Hansen Institute</t>
  </si>
  <si>
    <t>Xoma US LLC</t>
  </si>
  <si>
    <t>Gilead Sciences Canada Inc</t>
  </si>
  <si>
    <t>Coherus Biosciences Inc</t>
  </si>
  <si>
    <t>Thrasos Innovation Inc</t>
  </si>
  <si>
    <t>Paul M Ridker</t>
  </si>
  <si>
    <t>GlaxoSmithKline Inc</t>
  </si>
  <si>
    <t>Bristol-Myers Squibb Canada</t>
  </si>
  <si>
    <t>Onyx Therapeutics Inc</t>
  </si>
  <si>
    <t>Circassia Ltd</t>
  </si>
  <si>
    <t>Perrigo Israel Pharmaceuticals LTD</t>
  </si>
  <si>
    <t>Amgen Canada Inc</t>
  </si>
  <si>
    <t>Ophthotech Corporation</t>
  </si>
  <si>
    <t>Abbvie Corporation</t>
  </si>
  <si>
    <t>AstraZeneca Canada Inc</t>
  </si>
  <si>
    <t>Celgene Inc</t>
  </si>
  <si>
    <t>Sunnybrook Research Institute</t>
  </si>
  <si>
    <t>Children's Oncology Group</t>
  </si>
  <si>
    <t>Pfizer Canada Inc</t>
  </si>
  <si>
    <t>Actelion Pharmaceuticals Inc</t>
  </si>
  <si>
    <t>Thomas Matthew Story Wolever</t>
  </si>
  <si>
    <t>PTC Therapeutics Inc</t>
  </si>
  <si>
    <t>Janssen Research and Development LLC</t>
  </si>
  <si>
    <t>Folia Biotech Inc</t>
  </si>
  <si>
    <t>Threshold Pharmaceuticals Inc</t>
  </si>
  <si>
    <t>Cancer Prevention Pharmaceuticals Inc</t>
  </si>
  <si>
    <t>UCB Inc</t>
  </si>
  <si>
    <t>Inovio Pharmaceuticals</t>
  </si>
  <si>
    <t>Sanofi-Aventis Recherche &amp; Development</t>
  </si>
  <si>
    <t>Medimmune LLC</t>
  </si>
  <si>
    <t>University of Calgary</t>
  </si>
  <si>
    <t>Standard Process Inc</t>
  </si>
  <si>
    <t>Sanofi-Aventis Canada Inc</t>
  </si>
  <si>
    <t>Boehringer Ingelheim Canada LTD LTEE</t>
  </si>
  <si>
    <t>Ferring Inc</t>
  </si>
  <si>
    <t>Eli Lilly Canada Inc</t>
  </si>
  <si>
    <t>Isis Pharmaceuticals Inc</t>
  </si>
  <si>
    <t>BN Immunotherapeutics Inc</t>
  </si>
  <si>
    <t>Opexa Therapeutics Inc</t>
  </si>
  <si>
    <t>Regeneron Pharmaceuticals Inc</t>
  </si>
  <si>
    <t>Merck Canada Inc</t>
  </si>
  <si>
    <t xml:space="preserve">Bio-Pharm Solutions Co., Ltd </t>
  </si>
  <si>
    <t>Eisai Inc</t>
  </si>
  <si>
    <t>Celldex</t>
  </si>
  <si>
    <t xml:space="preserve">Allergan Inc </t>
  </si>
  <si>
    <t>National Cancer Institute of Canada (NCIC) Clinical Trials Group Queens University</t>
  </si>
  <si>
    <t>Bayer Inc</t>
  </si>
  <si>
    <t>Shire Canada Inc</t>
  </si>
  <si>
    <t>Regado Biosciences Inc</t>
  </si>
  <si>
    <t>Janssen Inc</t>
  </si>
  <si>
    <t>Sanofi Pasteur Inc</t>
  </si>
  <si>
    <t>Cempra Pharmaceuticals Inc</t>
  </si>
  <si>
    <t>The Hospital for Sick Children</t>
  </si>
  <si>
    <t>St-Boniface General Hospital</t>
  </si>
  <si>
    <t>Dermira Incorporated</t>
  </si>
  <si>
    <t>AlloCure Inc</t>
  </si>
  <si>
    <t>Neuraxon Incorporated</t>
  </si>
  <si>
    <t>Abbott Corporation</t>
  </si>
  <si>
    <t>ViiV Health Care</t>
  </si>
  <si>
    <t>Furiex Pharmaceuticals Inc</t>
  </si>
  <si>
    <t>Amylin Pharmaceuticals</t>
  </si>
  <si>
    <t>Sunesis Pharmaceuticals Inc</t>
  </si>
  <si>
    <t>Centre for Addiction and Mental Health</t>
  </si>
  <si>
    <t>Astellas Pharma Inc</t>
  </si>
  <si>
    <t>EMD Serono Inc</t>
  </si>
  <si>
    <t>HemaQuest Pharmaceuticals Inc</t>
  </si>
  <si>
    <t xml:space="preserve">Biogen Idec Canada Inc </t>
  </si>
  <si>
    <t>Rigel Pharmaceuticals Inc</t>
  </si>
  <si>
    <t>Novo Nordisk Canada Inc</t>
  </si>
  <si>
    <t>Daiichi Sankyo Inc</t>
  </si>
  <si>
    <t>Cubist Pharmaceuticals Inc</t>
  </si>
  <si>
    <t>Green Cross Corporation</t>
  </si>
  <si>
    <t>Vertex Pharmaceuticals Inc</t>
  </si>
  <si>
    <t>Ardea Biosciences Inc</t>
  </si>
  <si>
    <t>Merck Frosst Canada  Ltd.</t>
  </si>
  <si>
    <t>UCB Biosciences GmBH</t>
  </si>
  <si>
    <t>Kythera Biopharmaceuticals Inc</t>
  </si>
  <si>
    <t>McMaster University</t>
  </si>
  <si>
    <t>BioMarin Pharmaceutical Inc.</t>
  </si>
  <si>
    <t>Galderma Canada Inc</t>
  </si>
  <si>
    <t xml:space="preserve">Forest Research Institute Inc </t>
  </si>
  <si>
    <t>Serenity Pharmaceuticals Inc</t>
  </si>
  <si>
    <t xml:space="preserve">Lundbeck Canada Inc </t>
  </si>
  <si>
    <t>Lundbeck Canada Inc</t>
  </si>
  <si>
    <t>Cooperative International Neuromuscular Research Group</t>
  </si>
  <si>
    <t>Genzyme Canada Inc</t>
  </si>
  <si>
    <t>Cerenis Therapeutics</t>
  </si>
  <si>
    <t>Takeda Global Research &amp; Development Center Inc</t>
  </si>
  <si>
    <t>Teva Pharmaceuticals Inc</t>
  </si>
  <si>
    <t>University of Oxford</t>
  </si>
  <si>
    <t>Ottawa Hospital Research Institute</t>
  </si>
  <si>
    <t>Ino Therapeutics</t>
  </si>
  <si>
    <t>Hamilton Health Sciences Corporation</t>
  </si>
  <si>
    <t>Otsuka Pharmaceutical Development &amp; Commercialization, Inc</t>
  </si>
  <si>
    <t>Bloorview Research Institute</t>
  </si>
  <si>
    <t>Quark Pharmaceuticals Inc</t>
  </si>
  <si>
    <t>OVO R&amp;D</t>
  </si>
  <si>
    <t>Alcon Research Limited</t>
  </si>
  <si>
    <t>UCB Celltech</t>
  </si>
  <si>
    <t>Biovex Inc</t>
  </si>
  <si>
    <t>Centocor Ortho Biotech Inc</t>
  </si>
  <si>
    <t>Biocryst Pharamaceuticals Inc</t>
  </si>
  <si>
    <t>Inspection Rating</t>
  </si>
  <si>
    <t>Inspection End Date</t>
  </si>
  <si>
    <t>Deficiency(EN)</t>
  </si>
  <si>
    <t>Street</t>
  </si>
  <si>
    <t>City</t>
  </si>
  <si>
    <t>Province</t>
  </si>
  <si>
    <t>Country</t>
  </si>
  <si>
    <t>Postal Code</t>
  </si>
  <si>
    <t>Inspection Type (FR)</t>
  </si>
  <si>
    <t>Inspection Type (EN)</t>
  </si>
  <si>
    <t>Deficiency(FR)</t>
  </si>
  <si>
    <t>Deficiency (EN)</t>
  </si>
  <si>
    <t>Deficiency (FR)</t>
  </si>
  <si>
    <t>Observation Number</t>
  </si>
  <si>
    <t>Line Number</t>
  </si>
  <si>
    <t>Rating (FR)</t>
  </si>
  <si>
    <t>Rating (EN)</t>
  </si>
  <si>
    <t>Reference Number</t>
  </si>
  <si>
    <t>Aucune lacune n’avait été observée.</t>
  </si>
  <si>
    <t>Currently Registered</t>
  </si>
  <si>
    <t>Registration Number</t>
  </si>
  <si>
    <t>Regular Inspection</t>
  </si>
  <si>
    <t>Re-Inspection</t>
  </si>
  <si>
    <t>Re-Assessment</t>
  </si>
  <si>
    <t>Inspection régulière</t>
  </si>
  <si>
    <t>Safety of Human Cells, Tissues and Organs for Transplantation</t>
  </si>
  <si>
    <t xml:space="preserve">The establishment transplanted cells, tissues or organs that were not processed by a registered establishment. </t>
  </si>
  <si>
    <t>The establishment transplanted cells, tissues or organs that were not determined safe for transplantation.</t>
  </si>
  <si>
    <t>The establishment imported cells, tissues or organs that were not processed by a registered establishment.</t>
  </si>
  <si>
    <t>The establishment imported cells, tissues or organs that were not determined safe for transplantation.</t>
  </si>
  <si>
    <t>The establishment’s application for registration did not contain all required information.</t>
  </si>
  <si>
    <t>The establishment did not notify Health Canada in writing within 30 days of a change in the information on its registration application.</t>
  </si>
  <si>
    <t>The establishment did not provide the requested information to Health Canada by the required date.</t>
  </si>
  <si>
    <t>The establishment did not sufficiently demonstrate its responsibility for assessing the safety and the processing of cells, tissues or organs performed by themselves or by another establishment.</t>
  </si>
  <si>
    <t>The establishment did not demonstrate that the cells, tissues or organs were safe for transplantation.</t>
  </si>
  <si>
    <t>The establishment did not have documented evidence to demonstrate that all its activities, processes, and technical procedures would consistently achieve the expected results.</t>
  </si>
  <si>
    <t>The establishment inappropriately pooled cells, tissues or organs from different donors for one recipient.</t>
  </si>
  <si>
    <t>The establishment did not collect all required history and information on the donors.</t>
  </si>
  <si>
    <t xml:space="preserve">The completed donor questionnaires were not recent and relevant. </t>
  </si>
  <si>
    <t xml:space="preserve">The establishment did not perform the required physical exam on the donors.  </t>
  </si>
  <si>
    <t xml:space="preserve">The physical exam of the donors was not recent and relevant. </t>
  </si>
  <si>
    <t>The establishment did not use appropriate and effective tests for infectious disease testing.</t>
  </si>
  <si>
    <t>The establishment did not test for infectious diseases within established timelines.</t>
  </si>
  <si>
    <t>For infant donors, the establishment did not conduct infectious disease testing on the birth mother.</t>
  </si>
  <si>
    <t>The establishment did not apply plasma dilution algorithms when required.</t>
  </si>
  <si>
    <t xml:space="preserve">The establishment did not accurately calculate the plasma dilutions.  </t>
  </si>
  <si>
    <t xml:space="preserve">For tissue donors, the establishment did not assess donors for all factors that could or would exclude them from donating.  </t>
  </si>
  <si>
    <t>For tissue donors, the establishment did not use appropriate and effective tests for infectious disease testing.</t>
  </si>
  <si>
    <t xml:space="preserve">For tissue donors, the establishment did not correctly interpret the results of the infectious disease tests.   </t>
  </si>
  <si>
    <t>For tissue donors, the establishment did not test for infectious diseases within established timelines.</t>
  </si>
  <si>
    <t xml:space="preserve">For ocular tissue donors, the establishment did not assess donors for all factors that could or would exclude them from donating.  </t>
  </si>
  <si>
    <t>For organ or islet cell donors, the establishment did not collect all required history and information on the donors.</t>
  </si>
  <si>
    <r>
      <t>For organ or islet cell donors, t</t>
    </r>
    <r>
      <rPr>
        <sz val="11"/>
        <color theme="1"/>
        <rFont val="Calibri"/>
        <family val="2"/>
        <scheme val="minor"/>
      </rPr>
      <t>he establishment did not assess donors for all factors that could or would exclude them from donating.</t>
    </r>
  </si>
  <si>
    <r>
      <t>For organ or islet cell donors, t</t>
    </r>
    <r>
      <rPr>
        <sz val="11"/>
        <color theme="1"/>
        <rFont val="Calibri"/>
        <family val="2"/>
        <scheme val="minor"/>
      </rPr>
      <t>he establishment did not use appropriate and effective tests for infectious disease testing.</t>
    </r>
  </si>
  <si>
    <r>
      <t>For organ or islet cell donors, t</t>
    </r>
    <r>
      <rPr>
        <sz val="11"/>
        <color theme="1"/>
        <rFont val="Calibri"/>
        <family val="2"/>
        <scheme val="minor"/>
      </rPr>
      <t>he establishment did not correctly interpret the results of the infectious disease tests.</t>
    </r>
  </si>
  <si>
    <r>
      <t>For organ or islet cell donors, t</t>
    </r>
    <r>
      <rPr>
        <sz val="11"/>
        <color theme="1"/>
        <rFont val="Calibri"/>
        <family val="2"/>
        <scheme val="minor"/>
      </rPr>
      <t>he establishment did not test for infectious diseases within established timelines.</t>
    </r>
  </si>
  <si>
    <t xml:space="preserve">For imported organs, the establishment did not have documentation of the donor suitability assessment. </t>
  </si>
  <si>
    <t>For imported organs, the establishment did not have documentation to show that all required tests were performed.</t>
  </si>
  <si>
    <t xml:space="preserve">For imported organs, the establishment did not have a copy of the test results before transplantation. </t>
  </si>
  <si>
    <r>
      <t xml:space="preserve">For lymphohematopoietic cells, the establishment did not collect </t>
    </r>
    <r>
      <rPr>
        <sz val="11"/>
        <color rgb="FF000000"/>
        <rFont val="Calibri"/>
        <family val="2"/>
      </rPr>
      <t>all required history and information on the donors.</t>
    </r>
  </si>
  <si>
    <t>For lymphohematopoietic cells, the establishment did not perform all required tests.</t>
  </si>
  <si>
    <t xml:space="preserve">For imported lymphohematopoietic cells, the establishment did not have all the documentation of the donor suitability assessment. </t>
  </si>
  <si>
    <t>For imported lymphohematopoietic cells, the establishment did not have all the documentation to show that appropriate and effective tests for infectious diseases were used.</t>
  </si>
  <si>
    <t>For imported lymphohematopoietic cells, the establishment did not review documentation of the donor suitability assessment.</t>
  </si>
  <si>
    <t>The establishment did not retrieve tissues within the established timelines.</t>
  </si>
  <si>
    <t xml:space="preserve">The establishment used test kits for transmissible diseases that were not licensed. </t>
  </si>
  <si>
    <t xml:space="preserve">For imported lymphohematopoietic cells, the establishment used test kits for transmissible diseases that were not licensed. </t>
  </si>
  <si>
    <t>The establishment used test kits for transmissible diseases that were not licensed for donor screening.</t>
  </si>
  <si>
    <t>The establishment did not perform bacterial testing.</t>
  </si>
  <si>
    <t>The establishment did not ensure the packaging materials were free from damage.</t>
  </si>
  <si>
    <t xml:space="preserve">The label or package insert information was not in English or French.  </t>
  </si>
  <si>
    <t>Cells were not labelled with all required information.</t>
  </si>
  <si>
    <t>Pancreases were not labelled with all required information.</t>
  </si>
  <si>
    <t>Islet cells were not labelled with all required information.</t>
  </si>
  <si>
    <t>Tissues were not labelled with all required information.</t>
  </si>
  <si>
    <t>Organs were not labelled with all required information.</t>
  </si>
  <si>
    <t>The establishment did not quarantine cells or tissues until it determined the donors were suitable.</t>
  </si>
  <si>
    <t>The establishment did not quarantine cells or tissues until it had reviewed the bacterial test results.</t>
  </si>
  <si>
    <t>The establishment did not quarantine cells or tissues until it had reviewed all processing records.</t>
  </si>
  <si>
    <t xml:space="preserve">The establishment did not quarantine tissues from living donors until the testing was complete. </t>
  </si>
  <si>
    <t xml:space="preserve">The establishment did not adhere to the maximum storage periods for cells, tissues or organ adjunct vessels. </t>
  </si>
  <si>
    <t>The establishment did not store cells, tissues or organs under appropriate environmental conditions.</t>
  </si>
  <si>
    <t>The establishment stored cells, tissues or organs in locations that were accessible to unauthorized persons.</t>
  </si>
  <si>
    <t>The establishment did not ship cells, tissues or organs under appropriate environmental conditions.</t>
  </si>
  <si>
    <t xml:space="preserve">The establishment did not appropriately segregate tissues </t>
  </si>
  <si>
    <t>The establishment did not segregate untested or positive cells, tissues or organs.</t>
  </si>
  <si>
    <t xml:space="preserve">The establishment did not meet the required conditions to release under exceptional distribution.  </t>
  </si>
  <si>
    <t>The establishment did not keep a copy of the notices of exceptional distribution.</t>
  </si>
  <si>
    <t>The notices of exceptional distribution did not include all required information.</t>
  </si>
  <si>
    <t>The establishment did not provide the transplant establishments with the completed donor suitability assessments when exceptional distribution was used.</t>
  </si>
  <si>
    <t xml:space="preserve">The establishment did not take all required steps when the safety of a cell, tissue or organ may have been compromised by errors or accidents during processing.  </t>
  </si>
  <si>
    <t>The importer did not notify source establishments after it was notified of errors or accidents.</t>
  </si>
  <si>
    <t xml:space="preserve"> The establishment did not adequately complete error or accident reports.</t>
  </si>
  <si>
    <t>The establishment did not send written notices of errors or accidents as soon as possible.</t>
  </si>
  <si>
    <t xml:space="preserve">The source establishment did not take all required actions when the safety of a cell, tissue or organ may have been compromised by errors or accidents during processing.  </t>
  </si>
  <si>
    <t>The source establishment did not adequately complete error or accident reports.</t>
  </si>
  <si>
    <t>The source establishment did not advise other establishments when investigations were not needed.</t>
  </si>
  <si>
    <t>The establishment did not immediately quarantine all affected cells, tissues and organs, following receipt of error or accident notices.</t>
  </si>
  <si>
    <t>The establishment did not forward copies of error or accident notices to every establishment to whom they distributed cells, tissues and organs.</t>
  </si>
  <si>
    <t>The establishment did not take all required actions when unexpected adverse reactions may have occurred.</t>
  </si>
  <si>
    <t>The importer did not notify source establishments when it received adverse reactions notices.</t>
  </si>
  <si>
    <t>The establishment did not adequately complete adverse reaction notices.</t>
  </si>
  <si>
    <t>The establishment did not send written notices of adverse reactions as soon as possible.</t>
  </si>
  <si>
    <t>The source establishment did not take all required actions when unexpected adverse reactions may have occurred.</t>
  </si>
  <si>
    <t>The source establishment did not adequately complete adverse reaction notices.</t>
  </si>
  <si>
    <t>The establishment did not immediately quarantine all affected cells, tissues and organs, following receipt of adverse reaction notices.</t>
  </si>
  <si>
    <t>The establishment did not forward copies of adverse reaction notices to every establishment to whom they distributed cells, tissues and organs.</t>
  </si>
  <si>
    <t>The source establishment did not provide Health Canada with error or accident reports where required.</t>
  </si>
  <si>
    <t>The source establishment did not provide Health Canada with unexpected serious adverse reaction reports where required.</t>
  </si>
  <si>
    <t>The establishment did not provide Health Canada with preliminary error or accident reports within 24 hours after the start of investigations.</t>
  </si>
  <si>
    <t>The establishment did not provide Health Canada with preliminary unexpected serious adverse reaction reports within 24 hours after the start of investigations.</t>
  </si>
  <si>
    <t>The establishment did not provide Health Canada with the required information about suspected error or accident investigations every 15 days until the submission of final reports.</t>
  </si>
  <si>
    <t>The establishment did not provide Health Canada with the required information about serious adverse reaction investigations every 15 days until the submission of final reports.</t>
  </si>
  <si>
    <t>The source establishment did not advise the required establishments of the results of its investigations.</t>
  </si>
  <si>
    <t>The establishment did not advise the required establishments of the results of investigations conducted by source establishments.</t>
  </si>
  <si>
    <t>The source establishment did not provide Health Canada with the final reports on its investigations.</t>
  </si>
  <si>
    <t>The source establishment did not provide Health Canada with all the required information on its final investigation reports.</t>
  </si>
  <si>
    <t>The source establishment did not send summaries of final investigation reports to all required establishments.</t>
  </si>
  <si>
    <t>The establishment did not forward the summary of final investigation reports to all required establishments.</t>
  </si>
  <si>
    <t>The establishment’s records were not accurate, complete, legible and/or indelible.</t>
  </si>
  <si>
    <t>The source establishment did not assign a donor identification code to each donor.</t>
  </si>
  <si>
    <t>The establishment did not use the donor identification code in its records system.</t>
  </si>
  <si>
    <t>The establishment’s records did not identify the establishment from which it received the cells, tissues or organs.</t>
  </si>
  <si>
    <t>The establishment’s records did not identify the establishment to whom it distributed the cells, tissues or organs.</t>
  </si>
  <si>
    <t>The establishment’s records did not include all shipping documents.</t>
  </si>
  <si>
    <t>The transplant establishment did not keep all required records for the cells, tissues and organs it transplanted.</t>
  </si>
  <si>
    <t>The establishment did not provide the source and/or transplant establishments with all required information to complete their records.</t>
  </si>
  <si>
    <t>The establishment did not keep records for the required amount of time.</t>
  </si>
  <si>
    <t>The establishment stored records in locations which did not have appropriate environmental conditions.</t>
  </si>
  <si>
    <t>The establishment stored records in locations that were accessible to unauthorized persons.</t>
  </si>
  <si>
    <t>The establishment did not have sufficient qualified personnel to carry out its activities.</t>
  </si>
  <si>
    <t>Personnel did not meet all requirements regarding their qualification by their education, their training or experience to perform their respective tasks.</t>
  </si>
  <si>
    <t>The facilities were not constructed and maintained to permit all or some activities to be conducted.</t>
  </si>
  <si>
    <t>The facilities were not constructed and maintained to permit efficient cleaning and maintenance and disinfection.</t>
  </si>
  <si>
    <t>The facilities were not constructed and maintained to control access to areas where activities were conducted.</t>
  </si>
  <si>
    <t>The equipment cleaning and maintenance was not adequate.</t>
  </si>
  <si>
    <t>The equipment was not qualified for its intended purpose.</t>
  </si>
  <si>
    <t>The equipment was not calibrated as required.</t>
  </si>
  <si>
    <t>The equipment was not disinfected or sterilized before each use as required.</t>
  </si>
  <si>
    <t>The establishment did not use equipment that maintained appropriate environment conditions for the storage of cells, tissues or organs.</t>
  </si>
  <si>
    <t>The establishment used processing supplies that were not qualified.</t>
  </si>
  <si>
    <t>The establishment did not store solutions, reagents or other supplies under appropriate environmental conditions.</t>
  </si>
  <si>
    <t>The establishment used cleaning, maintenance, disinfection or sterilization supplies that could negatively affect the cells, tissues or organs.</t>
  </si>
  <si>
    <t>The establishment’s quality assurance system did not comply with the regulatory requirements.</t>
  </si>
  <si>
    <t>The establishment did not have standard operating procedures for all its activities.</t>
  </si>
  <si>
    <t>The establishment did not follow the standard operating procedures as written.</t>
  </si>
  <si>
    <t>The standard operating procedures were not in a standardized format.</t>
  </si>
  <si>
    <t>The medical or scientific director did not approve the standard operating procedures.</t>
  </si>
  <si>
    <t>The standard operating procedures were not available in locations where the relevant activities were conducted.</t>
  </si>
  <si>
    <t xml:space="preserve">The establishment did not review their standard operating procedures every two years. </t>
  </si>
  <si>
    <t>The establishment did not review their standard operating procedures after a change to the Regulations.</t>
  </si>
  <si>
    <t>The establishment did not review their standard operating procedures after a deficiency was identified in an investigation or an audit.</t>
  </si>
  <si>
    <t>The establishment did not conduct an audit of all regulated activities every two years.</t>
  </si>
  <si>
    <t>The audit was conducted by a person who had direct responsibility for the activities being audited.</t>
  </si>
  <si>
    <t>17  – Processing (General)</t>
  </si>
  <si>
    <t xml:space="preserve">18(a)  – Processing (Donor Suitability) </t>
  </si>
  <si>
    <t xml:space="preserve">18(b)  – Processing (Donor Suitability)  </t>
  </si>
  <si>
    <t xml:space="preserve">18(c)  – Processing (Donor Suitability)  </t>
  </si>
  <si>
    <t xml:space="preserve">18(d)  – Processing (Donor Suitability)  </t>
  </si>
  <si>
    <t xml:space="preserve">19  – Processing (Donor Suitability)  </t>
  </si>
  <si>
    <t xml:space="preserve">20(a)  – Processing (Donor Suitability)  </t>
  </si>
  <si>
    <t xml:space="preserve">20(b)  – Processing (Donor Suitability)  </t>
  </si>
  <si>
    <t xml:space="preserve">21  – Processing (Donor Suitability)  </t>
  </si>
  <si>
    <t xml:space="preserve">22(1)(a)  – Processing (Donor Suitability) </t>
  </si>
  <si>
    <t xml:space="preserve">22(1)(b)  – Processing (Donor Suitability) </t>
  </si>
  <si>
    <t xml:space="preserve">22(1)(c)  – Processing (Donor Suitability) </t>
  </si>
  <si>
    <t xml:space="preserve">22(1)(d)  – Processing (Donor Suitability)  </t>
  </si>
  <si>
    <t xml:space="preserve">22(2)(a)  – Processing (Donor Suitability) </t>
  </si>
  <si>
    <t xml:space="preserve">22(2)(b)  – Processing (Donor Suitability) </t>
  </si>
  <si>
    <t xml:space="preserve">22(2)(c)  – Processing (Donor Suitability) </t>
  </si>
  <si>
    <t xml:space="preserve">22(2)(d)  – Processing (Donor Suitability)  </t>
  </si>
  <si>
    <t xml:space="preserve">23(1)(a)  – Processing (Donor Suitability) </t>
  </si>
  <si>
    <t xml:space="preserve">23(1)(b)  – Processing (Donor Suitability) </t>
  </si>
  <si>
    <t xml:space="preserve">23(1)(c)  – Processing (Donor Suitability) </t>
  </si>
  <si>
    <t xml:space="preserve">23(1)(d)  – Processing (Donor Suitability)  </t>
  </si>
  <si>
    <t xml:space="preserve">23(2)(a)  – Processing (Donor Suitability) </t>
  </si>
  <si>
    <t xml:space="preserve">23(2)(b)  – Processing (Donor Suitability) </t>
  </si>
  <si>
    <t xml:space="preserve">23(2)(c)  – Processing (Donor Suitability)  </t>
  </si>
  <si>
    <t xml:space="preserve">23(2)(d)  – Processing (Donor Suitability) </t>
  </si>
  <si>
    <t>24  – Processing (Retrieval)</t>
  </si>
  <si>
    <t>25(1)  – Processing (Testing)</t>
  </si>
  <si>
    <t>25(2)  – Processing (Testing)</t>
  </si>
  <si>
    <t>26(1)  – Processing (Testing)</t>
  </si>
  <si>
    <t>27  – Processing (Testing)</t>
  </si>
  <si>
    <t>28  – Processing (Packaging)</t>
  </si>
  <si>
    <t>29  – Processing (Labelling)</t>
  </si>
  <si>
    <t>30(1)  – Processing (Labelling)</t>
  </si>
  <si>
    <t>30(2)  – Processing (Labelling)</t>
  </si>
  <si>
    <t>31  – Processing (Labelling)</t>
  </si>
  <si>
    <t>32  – Processing (Labelling)</t>
  </si>
  <si>
    <t>33  – Processing (Labelling)</t>
  </si>
  <si>
    <t>34(1)(a)  – Processing (Quarantine)</t>
  </si>
  <si>
    <t>34(1)b)  – Processing (Quarantine)</t>
  </si>
  <si>
    <t>34(1)(c)  – Processing (Quarantine)</t>
  </si>
  <si>
    <t>34(2)  – Processing (Quarantine)</t>
  </si>
  <si>
    <t xml:space="preserve">35  – Storage </t>
  </si>
  <si>
    <t>36  – Storage</t>
  </si>
  <si>
    <t>37  – Storage</t>
  </si>
  <si>
    <t>38  – Storage</t>
  </si>
  <si>
    <t>39  – Storage</t>
  </si>
  <si>
    <t>40(a-c)  – Exceptional Distribution</t>
  </si>
  <si>
    <t>41(1-2)  – Exceptional Distribution</t>
  </si>
  <si>
    <t>41(3)  – Exceptional Distribution</t>
  </si>
  <si>
    <t>42  – Exceptional Distribution</t>
  </si>
  <si>
    <t>43(1)  – Investigations and Reporting</t>
  </si>
  <si>
    <t>43(2)  – Investigations and Reporting</t>
  </si>
  <si>
    <t>43(3)  – Investigations and Reporting</t>
  </si>
  <si>
    <t>43(4)  – Investigations and Reporting</t>
  </si>
  <si>
    <t>44(1)  – Investigations and Reporting</t>
  </si>
  <si>
    <t>44(2)  – Investigations and Reporting</t>
  </si>
  <si>
    <t>45  – Investigations and Reporting</t>
  </si>
  <si>
    <t>46  – Investigations and Reporting</t>
  </si>
  <si>
    <t>47(1)  – Investigations and Reporting</t>
  </si>
  <si>
    <t>47(2)  – Investigations and Reporting</t>
  </si>
  <si>
    <t>47(3)  – Investigations and Reporting</t>
  </si>
  <si>
    <t>47(4)  – Investigations and Reporting</t>
  </si>
  <si>
    <t>48(1)  – Investigations and Reporting</t>
  </si>
  <si>
    <t>48(2)  – Investigations and Reporting</t>
  </si>
  <si>
    <t>49  – Investigations and Reporting</t>
  </si>
  <si>
    <t>50  – Investigations and Reporting</t>
  </si>
  <si>
    <t>51(1)(a)  – Investigations and Reporting</t>
  </si>
  <si>
    <t>51(1)(b)  – Investigations and Reporting</t>
  </si>
  <si>
    <t>51(2)(a)  – Investigations and Reporting</t>
  </si>
  <si>
    <t>51(2)(b)  – Investigations and Reporting</t>
  </si>
  <si>
    <t>52(1)  – Investigations and Reporting</t>
  </si>
  <si>
    <t>52(2)  – Investigations and Reporting</t>
  </si>
  <si>
    <t>53(1)  – Investigations and Reporting</t>
  </si>
  <si>
    <t>53(2)  – Investigations and Reporting</t>
  </si>
  <si>
    <t>54(1)  – Investigations and Reporting</t>
  </si>
  <si>
    <t>54(2)  – Investigations and Reporting</t>
  </si>
  <si>
    <t>54(3)  – Investigations and Reporting</t>
  </si>
  <si>
    <t xml:space="preserve">55  – Records </t>
  </si>
  <si>
    <t>56(1)  – Records</t>
  </si>
  <si>
    <t>56(2)  – Records</t>
  </si>
  <si>
    <t>57  – Records</t>
  </si>
  <si>
    <t>58  – Records</t>
  </si>
  <si>
    <t>59  – Records</t>
  </si>
  <si>
    <t>60  – Records</t>
  </si>
  <si>
    <t>61  – Records</t>
  </si>
  <si>
    <t>62(1-4)  – Records</t>
  </si>
  <si>
    <t>63  – Records</t>
  </si>
  <si>
    <t>64(1)  – Personnel</t>
  </si>
  <si>
    <t xml:space="preserve">64(2)  – Personnel </t>
  </si>
  <si>
    <t xml:space="preserve">65  – Facilities </t>
  </si>
  <si>
    <t>66  – Equipment and Supplies</t>
  </si>
  <si>
    <t>67  – Equipment and Supplies</t>
  </si>
  <si>
    <t>68  – Equipment and Supplies</t>
  </si>
  <si>
    <t>69  – Equipment and Supplies</t>
  </si>
  <si>
    <t>71  – Quality Assurance System</t>
  </si>
  <si>
    <t>72  – Quality Assurance System</t>
  </si>
  <si>
    <t>73  – Quality Assurance System</t>
  </si>
  <si>
    <t>74  – Quality Assurance System</t>
  </si>
  <si>
    <t>75  – Quality Assurance System</t>
  </si>
  <si>
    <t>76  – Quality Assurance System</t>
  </si>
  <si>
    <t>No deficiencies were noted.</t>
  </si>
  <si>
    <t xml:space="preserve">35 - Storage </t>
  </si>
  <si>
    <t>42 - Exceptional Distribution</t>
  </si>
  <si>
    <t>50 - Investigations and Reporting</t>
  </si>
  <si>
    <t xml:space="preserve">55 - Records </t>
  </si>
  <si>
    <t xml:space="preserve">65 - Facilities </t>
  </si>
  <si>
    <t>66 - Equipment and Supplies</t>
  </si>
  <si>
    <t>67 - Equipment and Supplies</t>
  </si>
  <si>
    <t>68 - Equipment and Supplies</t>
  </si>
  <si>
    <t>69 - Equipment and Supplies</t>
  </si>
  <si>
    <t xml:space="preserve">14 - Registration  </t>
  </si>
  <si>
    <t>15 - Source Establishment</t>
  </si>
  <si>
    <t>ENGLISH</t>
  </si>
  <si>
    <t>FRENCH</t>
  </si>
  <si>
    <t>Sécurité des cellules, tissus et organes humains destinés à la transplantation</t>
  </si>
  <si>
    <t xml:space="preserve">4(1) CTO Regulations – Prohibition </t>
  </si>
  <si>
    <t>4(1) Règlement sur les CTO – Interdiction</t>
  </si>
  <si>
    <t>L’établissement avait transplanté des cellules, tissus ou organes qui n’avaient pas été traités par un établissement enregistré.</t>
  </si>
  <si>
    <t>L’établissement avait transplanté des cellules, tissus ou organes qui n’avaient pas été jugés sécuritaires aux fins de transplantation.</t>
  </si>
  <si>
    <t xml:space="preserve">4(2) CTO Regulations – Prohibition </t>
  </si>
  <si>
    <t>4(2) Règlement sur les CTO – Interdiction</t>
  </si>
  <si>
    <t>L’établissement avait importé des cellules, tissus ou organes qui n’avaient pas été traités par un établissement enregistré.</t>
  </si>
  <si>
    <t>L’établissement avait importé des cellules, tissus ou organes qui n’avaient pas été jugés sécuritaires aux fins de transplantation.</t>
  </si>
  <si>
    <r>
      <t>6(1) CTO Regulations – Registration</t>
    </r>
    <r>
      <rPr>
        <sz val="11"/>
        <color theme="1"/>
        <rFont val="Calibri"/>
        <family val="2"/>
      </rPr>
      <t xml:space="preserve"> </t>
    </r>
  </si>
  <si>
    <t>6(1) Règlement sur les CTO – Enregistrement</t>
  </si>
  <si>
    <t>La demande d’enregistrement ne contenait pas tous les renseignements exigés.</t>
  </si>
  <si>
    <t xml:space="preserve">13(1) CTO Regulations – Registration  </t>
  </si>
  <si>
    <t>13(1) Règlement sur les CTO – Enregistrement</t>
  </si>
  <si>
    <t>L’établissement n’avait pas avisé Santé Canada par écrit d’un changement apporté aux renseignements figurant dans sa demande d’enregistrement dans les trente jours suivant ce changement.</t>
  </si>
  <si>
    <t xml:space="preserve">13(2) CTO Regulations – Registration  </t>
  </si>
  <si>
    <t>13(2) Règlement sur les CTO – Enregistrement</t>
  </si>
  <si>
    <t xml:space="preserve">The establishment did not notify Health Canada in writing within 90 days of stopping activities.  </t>
  </si>
  <si>
    <t>L’établissement n’avait pas avisé Santé Canada par écrit dans les quatre-vingt-dix jours suivant la cessation de ses activités.</t>
  </si>
  <si>
    <t xml:space="preserve">14 CTO Regulations – Registration  </t>
  </si>
  <si>
    <t>14 Règlement sur les CTO – Enregistrement</t>
  </si>
  <si>
    <t>L’établissement n’avait  pas fourni les renseignements demandés à Santé Canada dans le délai prescrit.</t>
  </si>
  <si>
    <t>15 CTO Regulations – Source Establishment</t>
  </si>
  <si>
    <t>15 Règlement sur les CTO – Établissement central</t>
  </si>
  <si>
    <t>L’établissement n’avait pas suffisant démontré sa responsabilité au sujet de l’évaluation de la sécurité et du traitement des cellules, tissus ou organes effectué par lui-même ou par un autre établissement.</t>
  </si>
  <si>
    <t>L’établissement n’avait pas démontré que les cellules, tissus ou organes étaient sécuritaires aux fins de transplantation.</t>
  </si>
  <si>
    <t>16 CTO Regulations – Processing (General)</t>
  </si>
  <si>
    <t>16 Règlement sur les CTO – Traitement (dispositions générales)</t>
  </si>
  <si>
    <t>L’établissement ne disposait pas de la documentation permettant de démontrer que toutes les activités et procédures et tous les procédés techniques permettraient d’atteindre de façon constante les résultats anticipés.</t>
  </si>
  <si>
    <t>17 CTO Regulations – Processing (General)</t>
  </si>
  <si>
    <t>17 Règlement sur les CTO – Traitement (dispositions générales)</t>
  </si>
  <si>
    <t>L’établissement avait mis en commun de façon inappropriée des cellules, tissus ou organes provenant de donneurs différents destinés à un seul receveur.</t>
  </si>
  <si>
    <t xml:space="preserve">18(a) CTO Regulations – Processing (Donor Suitability)  </t>
  </si>
  <si>
    <r>
      <t>18</t>
    </r>
    <r>
      <rPr>
        <b/>
        <i/>
        <sz val="11"/>
        <color theme="1"/>
        <rFont val="Calibri"/>
        <family val="2"/>
        <scheme val="minor"/>
      </rPr>
      <t>a</t>
    </r>
    <r>
      <rPr>
        <b/>
        <sz val="11"/>
        <color theme="1"/>
        <rFont val="Calibri"/>
        <family val="2"/>
        <scheme val="minor"/>
      </rPr>
      <t>) Règlement sur les CTO – Traitement (admissibilité du donneur)</t>
    </r>
  </si>
  <si>
    <t>L’établissement n’avait pas recueilli tous les renseignements et antécédents exigés sur les donneurs.</t>
  </si>
  <si>
    <t xml:space="preserve">18(b) CTO Regulations – Processing (Donor Suitability)    </t>
  </si>
  <si>
    <r>
      <t>18</t>
    </r>
    <r>
      <rPr>
        <b/>
        <i/>
        <sz val="11"/>
        <color theme="1"/>
        <rFont val="Calibri"/>
        <family val="2"/>
        <scheme val="minor"/>
      </rPr>
      <t>b</t>
    </r>
    <r>
      <rPr>
        <b/>
        <sz val="11"/>
        <color theme="1"/>
        <rFont val="Calibri"/>
        <family val="2"/>
        <scheme val="minor"/>
      </rPr>
      <t>) Règlement sur les CTO – Traitement (admissibilité du donneur)</t>
    </r>
  </si>
  <si>
    <t xml:space="preserve">The establishment did not assess donors for all factors that could or would exclude them from donating. </t>
  </si>
  <si>
    <t>L’établissement n’avait pas évalué les donneurs pour tous les facteurs qui pouvaient ou auraient pu les exclure du don.</t>
  </si>
  <si>
    <t>Les questionnaires remplis par les donneurs n’étaient pas récents ni pertinents.</t>
  </si>
  <si>
    <t xml:space="preserve">18(c) CTO Regulations – Processing (Donor Suitability)    </t>
  </si>
  <si>
    <r>
      <t>18</t>
    </r>
    <r>
      <rPr>
        <b/>
        <i/>
        <sz val="11"/>
        <color theme="1"/>
        <rFont val="Calibri"/>
        <family val="2"/>
        <scheme val="minor"/>
      </rPr>
      <t>c</t>
    </r>
    <r>
      <rPr>
        <b/>
        <sz val="11"/>
        <color theme="1"/>
        <rFont val="Calibri"/>
        <family val="2"/>
        <scheme val="minor"/>
      </rPr>
      <t>) Règlement sur les CTO – Traitement (admissibilité du donneur)</t>
    </r>
  </si>
  <si>
    <t>L’établissement n’avait pas effectué l’examen physique des donneurs tel qu’exigé.</t>
  </si>
  <si>
    <t>L’examen physique des donneurs n’était pas récent ni pertinent.</t>
  </si>
  <si>
    <t xml:space="preserve">18(d) CTO Regulations – Processing (Donor Suitability)    </t>
  </si>
  <si>
    <r>
      <t>18</t>
    </r>
    <r>
      <rPr>
        <b/>
        <i/>
        <sz val="11"/>
        <color theme="1"/>
        <rFont val="Calibri"/>
        <family val="2"/>
        <scheme val="minor"/>
      </rPr>
      <t>d</t>
    </r>
    <r>
      <rPr>
        <b/>
        <sz val="11"/>
        <color theme="1"/>
        <rFont val="Calibri"/>
        <family val="2"/>
        <scheme val="minor"/>
      </rPr>
      <t>) Règlement sur les CTO – Traitement (admissibilité du donneur)</t>
    </r>
  </si>
  <si>
    <t xml:space="preserve">The establishment did not use appropriate and effective tests for infectious disease testing. </t>
  </si>
  <si>
    <t>L’établissement n’avait pas effectué les essais appropriés et efficaces aux fins de dépistage des maladies infectieuses.</t>
  </si>
  <si>
    <t xml:space="preserve">The establishment did not correctly interpret the results of the infectious disease tests.  </t>
  </si>
  <si>
    <t>L’établissement n’avait pas correctement interprété les résultats des essais de dépistage des maladies infectieuses.</t>
  </si>
  <si>
    <t>L’établissement n’avait pas effectué les essais de dépistage des maladies infectieuses dans les délais prescrits.</t>
  </si>
  <si>
    <t xml:space="preserve">For infant donors, the establishment did not conduct infectious disease testing on the birth mother. </t>
  </si>
  <si>
    <t>L’établissement n’avait pas effectué les essais de dépistage des maladies infectieuses sur la mère des nourrissons donneurs.</t>
  </si>
  <si>
    <t xml:space="preserve">19 CTO Regulations – Processing (Donor Suitability)    </t>
  </si>
  <si>
    <t>19 Règlement sur les CTO – Traitement (admissibilité du donneur)</t>
  </si>
  <si>
    <t>L’établissement n’avait pas appliqué d’algorithmes de dilution plasmatique quand il le fallait.</t>
  </si>
  <si>
    <t>L’établissement n’avait pas  calculé correctement les dilutions plasmatiques.</t>
  </si>
  <si>
    <t xml:space="preserve">20(a) CTO Regulations – Processing (Donor Suitability)    </t>
  </si>
  <si>
    <r>
      <t>20</t>
    </r>
    <r>
      <rPr>
        <b/>
        <i/>
        <sz val="11"/>
        <color theme="1"/>
        <rFont val="Calibri"/>
        <family val="2"/>
        <scheme val="minor"/>
      </rPr>
      <t>a</t>
    </r>
    <r>
      <rPr>
        <b/>
        <sz val="11"/>
        <color theme="1"/>
        <rFont val="Calibri"/>
        <family val="2"/>
        <scheme val="minor"/>
      </rPr>
      <t>) Règlement sur les CTO – Traitement (admissibilité du donneur)</t>
    </r>
  </si>
  <si>
    <t>L’établissement n’avait pas évalué les donneurs de tissus pour tous les facteurs qui pouvaient ou auraient pu les exclure du don.</t>
  </si>
  <si>
    <t xml:space="preserve">20(b) CTO Regulations – Processing (Donor Suitability)    </t>
  </si>
  <si>
    <r>
      <t>20</t>
    </r>
    <r>
      <rPr>
        <b/>
        <i/>
        <sz val="11"/>
        <color theme="1"/>
        <rFont val="Calibri"/>
        <family val="2"/>
        <scheme val="minor"/>
      </rPr>
      <t>b</t>
    </r>
    <r>
      <rPr>
        <b/>
        <sz val="11"/>
        <color theme="1"/>
        <rFont val="Calibri"/>
        <family val="2"/>
        <scheme val="minor"/>
      </rPr>
      <t>) Règlement sur les CTO – Traitement (admissibilité du donneur)</t>
    </r>
  </si>
  <si>
    <t>L’établissement n’avait pas effectué les essais appropriés et efficaces sur les donneurs de tissus aux fins de dépistage des maladies infectieuses.</t>
  </si>
  <si>
    <t>L’établissement n’avait pas correctement interprété les résultats des essais de dépistage des maladies infectieuses sur les donneurs de tissus.</t>
  </si>
  <si>
    <t>L’établissement n’avait pas effectué les essais de dépistage des maladies infectieuses sur les donneurs de tissus dans les délais prescrits.</t>
  </si>
  <si>
    <t xml:space="preserve">21 CTO Regulations – Processing (Donor Suitability)    </t>
  </si>
  <si>
    <t>21 Règlement sur les CTO – Traitement (admissibilité du donneur)</t>
  </si>
  <si>
    <t>L’établissement n’avait pas évalué les donneurs de tissus oculaires pour tous les facteurs qui pouvaient ou auraient pu les exclure du don.</t>
  </si>
  <si>
    <t xml:space="preserve">22(1)(a) CTO Regulations – Processing (Donor Suitability)  </t>
  </si>
  <si>
    <r>
      <t>22(1)</t>
    </r>
    <r>
      <rPr>
        <b/>
        <i/>
        <sz val="11"/>
        <color theme="1"/>
        <rFont val="Calibri"/>
        <family val="2"/>
        <scheme val="minor"/>
      </rPr>
      <t>a</t>
    </r>
    <r>
      <rPr>
        <b/>
        <sz val="11"/>
        <color theme="1"/>
        <rFont val="Calibri"/>
        <family val="2"/>
        <scheme val="minor"/>
      </rPr>
      <t>) Règlement sur les CTO – Traitement (admissibilité du donneur)</t>
    </r>
  </si>
  <si>
    <t>L’établissement n’avait pas recueilli tous les renseignements et antécédents des donneurs d’organe ou d’îlots de Langerhans.</t>
  </si>
  <si>
    <t xml:space="preserve">22(1)(b) CTO Regulations – Processing (Donor Suitability)  </t>
  </si>
  <si>
    <r>
      <t>22(1)</t>
    </r>
    <r>
      <rPr>
        <b/>
        <i/>
        <sz val="11"/>
        <color theme="1"/>
        <rFont val="Calibri"/>
        <family val="2"/>
        <scheme val="minor"/>
      </rPr>
      <t>b</t>
    </r>
    <r>
      <rPr>
        <b/>
        <sz val="11"/>
        <color theme="1"/>
        <rFont val="Calibri"/>
        <family val="2"/>
        <scheme val="minor"/>
      </rPr>
      <t>) Règlement sur les CTO – Traitement (admissibilité du donneur)</t>
    </r>
  </si>
  <si>
    <r>
      <t>For organ or islet cell donors, t</t>
    </r>
    <r>
      <rPr>
        <sz val="11"/>
        <color theme="1"/>
        <rFont val="Calibri"/>
        <family val="2"/>
        <scheme val="minor"/>
      </rPr>
      <t xml:space="preserve">he establishment did not assess donors for all factors that could or would exclude them from donating. </t>
    </r>
  </si>
  <si>
    <t>L’établissement n’avait pas évalué les donneurs d’organe ou d’îlots de Langerhans pour tous les facteurs qui pouvaient ou auraient pu les exclure du don.</t>
  </si>
  <si>
    <t xml:space="preserve">22(1)(c) CTO Regulations – Processing (Donor Suitability)  </t>
  </si>
  <si>
    <r>
      <t>22(1)</t>
    </r>
    <r>
      <rPr>
        <b/>
        <i/>
        <sz val="11"/>
        <color theme="1"/>
        <rFont val="Calibri"/>
        <family val="2"/>
        <scheme val="minor"/>
      </rPr>
      <t>c</t>
    </r>
    <r>
      <rPr>
        <b/>
        <sz val="11"/>
        <color theme="1"/>
        <rFont val="Calibri"/>
        <family val="2"/>
        <scheme val="minor"/>
      </rPr>
      <t>) Règlement sur les CTO – Traitement (admissibilité du donneur)</t>
    </r>
  </si>
  <si>
    <r>
      <t>For organ or islet cell donors, t</t>
    </r>
    <r>
      <rPr>
        <sz val="11"/>
        <color theme="1"/>
        <rFont val="Calibri"/>
        <family val="2"/>
        <scheme val="minor"/>
      </rPr>
      <t xml:space="preserve">he establishment did not perform all required tests.    </t>
    </r>
  </si>
  <si>
    <t>L’établissement n’avait pas effectué tous les essais exigés sur les donneurs d’organe ou d’îlots de Langerhans.</t>
  </si>
  <si>
    <r>
      <t xml:space="preserve">22(1)(d) CTO Regulations – Processing (Donor Suitability)  </t>
    </r>
    <r>
      <rPr>
        <sz val="11"/>
        <color theme="1"/>
        <rFont val="Calibri"/>
        <family val="2"/>
        <scheme val="minor"/>
      </rPr>
      <t xml:space="preserve"> </t>
    </r>
  </si>
  <si>
    <r>
      <t>22(1)</t>
    </r>
    <r>
      <rPr>
        <b/>
        <i/>
        <sz val="11"/>
        <color theme="1"/>
        <rFont val="Calibri"/>
        <family val="2"/>
        <scheme val="minor"/>
      </rPr>
      <t>d</t>
    </r>
    <r>
      <rPr>
        <b/>
        <sz val="11"/>
        <color theme="1"/>
        <rFont val="Calibri"/>
        <family val="2"/>
        <scheme val="minor"/>
      </rPr>
      <t>) Règlement sur les CTO – Traitement (admissibilité du donneur)</t>
    </r>
  </si>
  <si>
    <t>L’établissement n’avait pas effectué les essais appropriés et efficaces sur les donneurs d’organe ou d’îlots de Langerhans aux fins de dépistage des maladies infectieuses.</t>
  </si>
  <si>
    <r>
      <t>For organ or islet cell donors, t</t>
    </r>
    <r>
      <rPr>
        <sz val="11"/>
        <color theme="1"/>
        <rFont val="Calibri"/>
        <family val="2"/>
        <scheme val="minor"/>
      </rPr>
      <t xml:space="preserve">he establishment did not correctly interpret the results of the infectious disease tests. </t>
    </r>
  </si>
  <si>
    <t>L’établissement n’avait pas correctement interprété les résultats des essais de dépistage des maladies infectieuses sur les donneurs d’organe ou d’îlots de Langerhans.</t>
  </si>
  <si>
    <t>L’établissement n’avait pas effectué les essais de dépistage des maladies infectieuses sur les donneurs d’organe ou d’îlots de Langerhans dans les délais prescrits.</t>
  </si>
  <si>
    <t xml:space="preserve">22(2)(a) CTO Regulations – Processing (Donor Suitability)  </t>
  </si>
  <si>
    <r>
      <t>22(2)</t>
    </r>
    <r>
      <rPr>
        <b/>
        <i/>
        <sz val="11"/>
        <color theme="1"/>
        <rFont val="Calibri"/>
        <family val="2"/>
        <scheme val="minor"/>
      </rPr>
      <t>a</t>
    </r>
    <r>
      <rPr>
        <b/>
        <sz val="11"/>
        <color theme="1"/>
        <rFont val="Calibri"/>
        <family val="2"/>
        <scheme val="minor"/>
      </rPr>
      <t>) Règlement sur les CTO – Traitement (admissibilité du donneur)</t>
    </r>
  </si>
  <si>
    <t>Dans le cas d’organes importés, l’établissement ne disposait pas de la documentation concernant l’évaluation de l’admissibilité des donneurs.</t>
  </si>
  <si>
    <t xml:space="preserve">22(2)(b) CTO Regulations – Processing (Donor Suitability)  </t>
  </si>
  <si>
    <r>
      <t>22(2)</t>
    </r>
    <r>
      <rPr>
        <b/>
        <i/>
        <sz val="11"/>
        <color theme="1"/>
        <rFont val="Calibri"/>
        <family val="2"/>
        <scheme val="minor"/>
      </rPr>
      <t>b</t>
    </r>
    <r>
      <rPr>
        <b/>
        <sz val="11"/>
        <color theme="1"/>
        <rFont val="Calibri"/>
        <family val="2"/>
        <scheme val="minor"/>
      </rPr>
      <t>) Règlement sur les CTO – Traitement (admissibilité du donneur)</t>
    </r>
  </si>
  <si>
    <t>Dans le cas d’organes importés, l’établissement ne disposait pas de la documentation permettant de démontrer que tous les essais exigés avaient été effectués.</t>
  </si>
  <si>
    <t xml:space="preserve">22(2)(c) CTO Regulations – Processing (Donor Suitability)  </t>
  </si>
  <si>
    <r>
      <t>22(2)</t>
    </r>
    <r>
      <rPr>
        <b/>
        <i/>
        <sz val="11"/>
        <color theme="1"/>
        <rFont val="Calibri"/>
        <family val="2"/>
        <scheme val="minor"/>
      </rPr>
      <t>c</t>
    </r>
    <r>
      <rPr>
        <b/>
        <sz val="11"/>
        <color theme="1"/>
        <rFont val="Calibri"/>
        <family val="2"/>
        <scheme val="minor"/>
      </rPr>
      <t>) Règlement sur les CTO – Traitement (admissibilité du donneur)</t>
    </r>
  </si>
  <si>
    <t xml:space="preserve">For imported organs, the establishment did not have documentation to show appropriate and effective tests were used for all infectious diseases.   </t>
  </si>
  <si>
    <t>Dans le cas d’organes importés, l’établissement ne disposait pas de la documentation permettant de démontrer que des essais appropriés et efficaces avaient été effectués aux fins de dépistage des maladies infectieuses.</t>
  </si>
  <si>
    <r>
      <t xml:space="preserve">22(2)(d) CTO Regulations – Processing (Donor Suitability)  </t>
    </r>
    <r>
      <rPr>
        <sz val="11"/>
        <color theme="1"/>
        <rFont val="Calibri"/>
        <family val="2"/>
      </rPr>
      <t xml:space="preserve"> </t>
    </r>
  </si>
  <si>
    <r>
      <t>22(2)</t>
    </r>
    <r>
      <rPr>
        <b/>
        <i/>
        <sz val="11"/>
        <color theme="1"/>
        <rFont val="Calibri"/>
        <family val="2"/>
        <scheme val="minor"/>
      </rPr>
      <t>d</t>
    </r>
    <r>
      <rPr>
        <b/>
        <sz val="11"/>
        <color theme="1"/>
        <rFont val="Calibri"/>
        <family val="2"/>
        <scheme val="minor"/>
      </rPr>
      <t>) Règlement sur les CTO – Traitement (admissibilité du donneur)</t>
    </r>
  </si>
  <si>
    <t>Dans le cas d’organes importés, l’établissement ne disposait pas d’une copie des résultats des essais effectués avant la transplantation.</t>
  </si>
  <si>
    <t xml:space="preserve">23(1)(a) CTO Regulations – Processing (Donor Suitability)  </t>
  </si>
  <si>
    <r>
      <t>23(1)</t>
    </r>
    <r>
      <rPr>
        <b/>
        <i/>
        <sz val="11"/>
        <color theme="1"/>
        <rFont val="Calibri"/>
        <family val="2"/>
        <scheme val="minor"/>
      </rPr>
      <t>a</t>
    </r>
    <r>
      <rPr>
        <b/>
        <sz val="11"/>
        <color theme="1"/>
        <rFont val="Calibri"/>
        <family val="2"/>
        <scheme val="minor"/>
      </rPr>
      <t>) Règlement sur les CTO – Traitement (admissibilité du donneur)</t>
    </r>
  </si>
  <si>
    <t>L’établissement n’avait pas recueilli tous les renseignements et antécédents exigés des donneurs de cellules lymphohématopoïétiques.</t>
  </si>
  <si>
    <t xml:space="preserve">23(1)(b) CTO Regulations – Processing (Donor Suitability)  </t>
  </si>
  <si>
    <r>
      <t>23(1)</t>
    </r>
    <r>
      <rPr>
        <b/>
        <i/>
        <sz val="11"/>
        <color theme="1"/>
        <rFont val="Calibri"/>
        <family val="2"/>
        <scheme val="minor"/>
      </rPr>
      <t>b</t>
    </r>
    <r>
      <rPr>
        <b/>
        <sz val="11"/>
        <color theme="1"/>
        <rFont val="Calibri"/>
        <family val="2"/>
        <scheme val="minor"/>
      </rPr>
      <t>) Règlement sur les CTO – Traitement (admissibilité du donneur)</t>
    </r>
  </si>
  <si>
    <t>L’établissement n’avait pas effectué l’examen physique des donneurs de cellules lymphohématopoïétiques tel qu’exigé.</t>
  </si>
  <si>
    <t>L’examen physique des donneurs de cellules lymphohématopoïétiques n’était pas récent ni pertinent.</t>
  </si>
  <si>
    <t xml:space="preserve">23(1)(c) CTO Regulations – Processing (Donor Suitability)  </t>
  </si>
  <si>
    <r>
      <t>23(1)</t>
    </r>
    <r>
      <rPr>
        <b/>
        <i/>
        <sz val="11"/>
        <color theme="1"/>
        <rFont val="Calibri"/>
        <family val="2"/>
        <scheme val="minor"/>
      </rPr>
      <t>c</t>
    </r>
    <r>
      <rPr>
        <b/>
        <sz val="11"/>
        <color theme="1"/>
        <rFont val="Calibri"/>
        <family val="2"/>
        <scheme val="minor"/>
      </rPr>
      <t>) Règlement sur les CTO – Traitement (admissibilité du donneur)</t>
    </r>
  </si>
  <si>
    <t>L’établissement n’avait pas évalué des donneurs de cellules lymphohématopoïétiques pour tous les facteurs qui pouvaient ou auraient pu les exclure du don.</t>
  </si>
  <si>
    <r>
      <t xml:space="preserve">23(1)(d) CTO Regulations – Processing (Donor Suitability)  </t>
    </r>
    <r>
      <rPr>
        <sz val="11"/>
        <color theme="1"/>
        <rFont val="Calibri"/>
        <family val="2"/>
      </rPr>
      <t xml:space="preserve"> </t>
    </r>
  </si>
  <si>
    <r>
      <t>23(1)</t>
    </r>
    <r>
      <rPr>
        <b/>
        <i/>
        <sz val="11"/>
        <color theme="1"/>
        <rFont val="Calibri"/>
        <family val="2"/>
        <scheme val="minor"/>
      </rPr>
      <t>d</t>
    </r>
    <r>
      <rPr>
        <b/>
        <sz val="11"/>
        <color theme="1"/>
        <rFont val="Calibri"/>
        <family val="2"/>
        <scheme val="minor"/>
      </rPr>
      <t>) Règlement sur les CTO – Traitement (admissibilité du donneur)</t>
    </r>
  </si>
  <si>
    <t>L’établissement n’avait pas effectué tous les essais exigés sur les donneurs de cellules lymphohématopoïétiques.</t>
  </si>
  <si>
    <t xml:space="preserve">23(1)(e) CTO Regulations – Processing (Donor Suitability)  </t>
  </si>
  <si>
    <r>
      <t>23(1)</t>
    </r>
    <r>
      <rPr>
        <b/>
        <i/>
        <sz val="11"/>
        <color theme="1"/>
        <rFont val="Calibri"/>
        <family val="2"/>
        <scheme val="minor"/>
      </rPr>
      <t>e</t>
    </r>
    <r>
      <rPr>
        <b/>
        <sz val="11"/>
        <color theme="1"/>
        <rFont val="Calibri"/>
        <family val="2"/>
        <scheme val="minor"/>
      </rPr>
      <t>) Règlement sur les CTO – Traitement (admissibilité du donneur)</t>
    </r>
  </si>
  <si>
    <t>For lymphohematopoietic cells, the establishment did not use appropriate and effective tests for infectious diseases.</t>
  </si>
  <si>
    <t>L’établissement n’avait pas effectué les essais appropriés et efficaces sur les donneurs de cellules lymphohématopoïétiques aux fins de dépistage des maladies infectieuses.</t>
  </si>
  <si>
    <t>For lymphohematopoietic cells, the establishment did not correctly interpret the results of the infectious disease tests.</t>
  </si>
  <si>
    <t>L’établissement n’avait pas correctement interprété les résultats des essais de dépistage des maladies infectieuses sur les donneurs de cellules lymphohématopoïétiques.</t>
  </si>
  <si>
    <t>For lymphohematopoietic cells, the establishment did not test for infectious diseases within established timelines.</t>
  </si>
  <si>
    <t>L’établissement n’avait pas effectué les essais de dépistage des maladies infectieuses sur les donneurs de cellules lymphohématopoïétiques dans les délais prescrits.</t>
  </si>
  <si>
    <t xml:space="preserve">23(2)(a) CTO Regulations – Processing (Donor Suitability)  </t>
  </si>
  <si>
    <r>
      <t>23(2)</t>
    </r>
    <r>
      <rPr>
        <b/>
        <i/>
        <sz val="11"/>
        <color theme="1"/>
        <rFont val="Calibri"/>
        <family val="2"/>
        <scheme val="minor"/>
      </rPr>
      <t>a</t>
    </r>
    <r>
      <rPr>
        <b/>
        <sz val="11"/>
        <color theme="1"/>
        <rFont val="Calibri"/>
        <family val="2"/>
        <scheme val="minor"/>
      </rPr>
      <t>) Règlement sur les CTO – Traitement (admissibilité du donneur)</t>
    </r>
  </si>
  <si>
    <t xml:space="preserve">For imported lymphohematopoietic cells, the establishment did not have all the documentation of the donor suitability assessment.  </t>
  </si>
  <si>
    <t>Dans le cas de cellules lymphohématopoïétiques importées, l’établissement ne disposait pas de toute la documentation concernant l’évaluation de l’admissibilité des donneurs.</t>
  </si>
  <si>
    <t xml:space="preserve">23(2)(b) CTO Regulations – Processing (Donor Suitability)  </t>
  </si>
  <si>
    <r>
      <t>23(2)</t>
    </r>
    <r>
      <rPr>
        <b/>
        <i/>
        <sz val="11"/>
        <color theme="1"/>
        <rFont val="Calibri"/>
        <family val="2"/>
        <scheme val="minor"/>
      </rPr>
      <t>b</t>
    </r>
    <r>
      <rPr>
        <b/>
        <sz val="11"/>
        <color theme="1"/>
        <rFont val="Calibri"/>
        <family val="2"/>
        <scheme val="minor"/>
      </rPr>
      <t>) Règlement sur les CTO – Traitement (admissibilité du donneur)</t>
    </r>
  </si>
  <si>
    <t xml:space="preserve">For imported lymphohematopoietic cells, the establishment did not have all the documentation showing completion of all required tests on the donors. </t>
  </si>
  <si>
    <t>Dans le cas de cellules lymphohématopoïétiques importées, l’établissement ne disposait pas de toute la documentation permettant de démontrer que tous les essais exigés avaient été effectués.</t>
  </si>
  <si>
    <t xml:space="preserve">23(2)(c) CTO Regulations – Processing (Donor Suitability)   </t>
  </si>
  <si>
    <r>
      <t>23(2)</t>
    </r>
    <r>
      <rPr>
        <b/>
        <i/>
        <sz val="11"/>
        <color theme="1"/>
        <rFont val="Calibri"/>
        <family val="2"/>
        <scheme val="minor"/>
      </rPr>
      <t>c</t>
    </r>
    <r>
      <rPr>
        <b/>
        <sz val="11"/>
        <color theme="1"/>
        <rFont val="Calibri"/>
        <family val="2"/>
        <scheme val="minor"/>
      </rPr>
      <t>) Règlement sur les CTO – Traitement (admissibilité du donneur)</t>
    </r>
  </si>
  <si>
    <t>Dans le cas de cellules lymphohématopoïétiques importées, l’établissement ne disposait pas de toute la documentation permettant de démontrer que les essais appropriés et efficaces avaient été effectués  aux fins de dépistage des maladies infectieuses.</t>
  </si>
  <si>
    <t xml:space="preserve">23(2)(d) CTO Regulations – Processing (Donor Suitability)  </t>
  </si>
  <si>
    <r>
      <t>23(2)</t>
    </r>
    <r>
      <rPr>
        <b/>
        <i/>
        <sz val="11"/>
        <color theme="1"/>
        <rFont val="Calibri"/>
        <family val="2"/>
        <scheme val="minor"/>
      </rPr>
      <t>d</t>
    </r>
    <r>
      <rPr>
        <b/>
        <sz val="11"/>
        <color theme="1"/>
        <rFont val="Calibri"/>
        <family val="2"/>
        <scheme val="minor"/>
      </rPr>
      <t>) Règlement sur les CTO – Traitement (admissibilité du donneur)</t>
    </r>
  </si>
  <si>
    <t>Dans le cas de cellules lymphohématopoïétiques importées, l’établissement ne disposait pas de toute la documentation concernant l’évaluation de l’admissibilité de donneurs.</t>
  </si>
  <si>
    <t>Dans le cas de cellules lymphohématopoïétiques importées, l’établissement n’avait pas examiné la documentation concernant l’évaluation de l’admissibilité de donneurs.</t>
  </si>
  <si>
    <t>24 CTO Regulations – Processing (Retrieval)</t>
  </si>
  <si>
    <t>24 Règlement sur les CTO – Traitement (prélèvement)</t>
  </si>
  <si>
    <t>L’établissement n’avait pas effectué les prélèvements de tissus dans les délais prescrits.</t>
  </si>
  <si>
    <t>25(1) CTO Regulations – Processing (Testing)</t>
  </si>
  <si>
    <t>25(1) Règlement sur les CTO – Traitement (essais)</t>
  </si>
  <si>
    <t>L’établissement avait utilisé des trousses d’essais de dépistage des maladies transmissibles non homologuées.</t>
  </si>
  <si>
    <t>25(2) CTO Regulations – Processing (Testing)</t>
  </si>
  <si>
    <t>25(2) Règlement sur les CTO – Traitement (essais)</t>
  </si>
  <si>
    <r>
      <t>Dans le cas de cellules lymphohématopoïétiques importées, l’établissement avait utilisé des trousses d’essais de dépistage des maladies transmissibles non homologuées</t>
    </r>
    <r>
      <rPr>
        <sz val="11"/>
        <color rgb="FF7030A0"/>
        <rFont val="Calibri"/>
        <family val="2"/>
        <scheme val="minor"/>
      </rPr>
      <t>.</t>
    </r>
  </si>
  <si>
    <t>26(1) CTO Regulations – Processing (Testing)</t>
  </si>
  <si>
    <t>26(1) Règlement sur les CTO – Traitement (essais)</t>
  </si>
  <si>
    <t>L’établissement avait utilisé des trousses d’essais de dépistage des maladies transmissibles non homologuées pour l’évaluation préliminaire de donneurs.</t>
  </si>
  <si>
    <t>27 CTO Regulations – Processing (Testing)</t>
  </si>
  <si>
    <t>27 Règlement sur les CTO – Traitement (essais)</t>
  </si>
  <si>
    <t>L’établissement n’avait pas effectué les essais bactériologiques.</t>
  </si>
  <si>
    <t>28 CTO Regulations – Processing (Packaging)</t>
  </si>
  <si>
    <t>28 Règlement sur les CTO – Traitement (emballage)</t>
  </si>
  <si>
    <t>L’établissement ne s’était pas assuré que les matériaux d’emballage n’étaient pas endommagés.</t>
  </si>
  <si>
    <t>29 CTO Regulations – Processing (Labelling)</t>
  </si>
  <si>
    <t>29 Règlement sur les CTO – Traitement (étiquetage)</t>
  </si>
  <si>
    <t>Les renseignements sur l’étiquette ou l’encart informatif n’étaient ni en français ni en anglais.</t>
  </si>
  <si>
    <t>30(1) CTO Regulations – Processing (Labelling)</t>
  </si>
  <si>
    <t>30(1) Règlement sur les CTO – Traitement (étiquetage)</t>
  </si>
  <si>
    <t>Des cellules n’avaient pas été étiquetées avec tous les renseignements exigés.</t>
  </si>
  <si>
    <t>30(2) CTO Regulations – Processing (Labelling)</t>
  </si>
  <si>
    <t>30(2) Règlement sur les CTO – Traitement (étiquetage)</t>
  </si>
  <si>
    <t>Des pancréas n’avaient pas été étiquetés avec tous les renseignements exigés.</t>
  </si>
  <si>
    <t>Des îlots de Langerhans n’avaient pas été étiquetés avec tous les renseignements exigés.</t>
  </si>
  <si>
    <t>31 CTO Regulations – Processing (Labelling)</t>
  </si>
  <si>
    <t>31 Règlement sur les CTO – Traitement (étiquetage)</t>
  </si>
  <si>
    <t>Des tissus n’avaient pas été étiquetés avec tous les renseignements exigés.</t>
  </si>
  <si>
    <t>32 CTO Regulations – Processing (Labelling)</t>
  </si>
  <si>
    <t>32 Règlement sur les CTO – Traitement (étiquetage)</t>
  </si>
  <si>
    <t>Des organes n’avaient pas été étiquetés avec tous les renseignements exigés.</t>
  </si>
  <si>
    <t>33 CTO Regulations – Processing (Labelling)</t>
  </si>
  <si>
    <t>33 Règlement sur les CTO – Traitement (étiquetage)</t>
  </si>
  <si>
    <t xml:space="preserve">The labels did not include all of the required information. </t>
  </si>
  <si>
    <t>Les étiquettes ne comportaient pas tous les renseignements exigés.</t>
  </si>
  <si>
    <t>34(1)(a) CTO Regulations – Processing (Quarantine)</t>
  </si>
  <si>
    <r>
      <t>34(1)</t>
    </r>
    <r>
      <rPr>
        <b/>
        <i/>
        <sz val="11"/>
        <color theme="1"/>
        <rFont val="Calibri"/>
        <family val="2"/>
        <scheme val="minor"/>
      </rPr>
      <t>a</t>
    </r>
    <r>
      <rPr>
        <b/>
        <sz val="11"/>
        <color theme="1"/>
        <rFont val="Calibri"/>
        <family val="2"/>
        <scheme val="minor"/>
      </rPr>
      <t>) Règlement sur les CTO – Traitement (quarantaine)</t>
    </r>
  </si>
  <si>
    <t>L’établissement n’avait pas mis en quarantaine des cellules ou des tissus jusqu’à ce que les donneurs aient été jugés admissibles.</t>
  </si>
  <si>
    <t>34(1)b) CTO Regulations – Processing (Quarantine)</t>
  </si>
  <si>
    <r>
      <t>34(1)</t>
    </r>
    <r>
      <rPr>
        <b/>
        <i/>
        <sz val="11"/>
        <color theme="1"/>
        <rFont val="Calibri"/>
        <family val="2"/>
        <scheme val="minor"/>
      </rPr>
      <t>b</t>
    </r>
    <r>
      <rPr>
        <b/>
        <sz val="11"/>
        <color theme="1"/>
        <rFont val="Calibri"/>
        <family val="2"/>
        <scheme val="minor"/>
      </rPr>
      <t>) Règlement sur les CTO – Traitement (quarantaine)</t>
    </r>
  </si>
  <si>
    <t>L’établissement n’avait pas mis en quarantaine des cellules ou des tissus jusqu’à ce qu’il ait examiné les résultats des essais bactériologiques.</t>
  </si>
  <si>
    <t>34(1)(c) CTO Regulations – Processing (Quarantine)</t>
  </si>
  <si>
    <r>
      <t>34(1)</t>
    </r>
    <r>
      <rPr>
        <b/>
        <i/>
        <sz val="11"/>
        <color theme="1"/>
        <rFont val="Calibri"/>
        <family val="2"/>
        <scheme val="minor"/>
      </rPr>
      <t>c</t>
    </r>
    <r>
      <rPr>
        <b/>
        <sz val="11"/>
        <color theme="1"/>
        <rFont val="Calibri"/>
        <family val="2"/>
        <scheme val="minor"/>
      </rPr>
      <t>) Règlement sur les CTO – Traitement (quarantaine)</t>
    </r>
  </si>
  <si>
    <t>L’établissement n’avait pas mis en quarantaine des cellules ou des tissus jusqu’à ce qu’il ait examiné toutes les données concernant le traitement.</t>
  </si>
  <si>
    <t>34(2) CTO Regulations – Processing (Quarantine)</t>
  </si>
  <si>
    <t>34(2) Règlement sur les CTO – Traitement (quarantaine)</t>
  </si>
  <si>
    <t>L’établissement n’avait pas mis en quarantaine des tissus de donneurs vivants jusqu’à ce que les essais aient été terminés.</t>
  </si>
  <si>
    <t xml:space="preserve">35 CTO Regulations – Storage </t>
  </si>
  <si>
    <t>35 Règlement sur les CTO – Conservation</t>
  </si>
  <si>
    <t>L’établissement n’avait pas respecté les périodes de conservation maximales des cellules, tissus ou vaisseaux prélevés avec un organe.</t>
  </si>
  <si>
    <t>36 CTO Regulations – Storage</t>
  </si>
  <si>
    <t>36 Règlement sur les CTO – Conservation</t>
  </si>
  <si>
    <t>L’établissement n’avait pas conservé des cellules, tissus ou organes dans des conditions ambiantes et matérielles appropriées.</t>
  </si>
  <si>
    <t>L’établissement avait conservé des cellules, tissus ou organes dans des lieux accessibles aux personnes non autorisées.</t>
  </si>
  <si>
    <t>37 CTO Regulations – Storage</t>
  </si>
  <si>
    <t>37 Règlement sur les CTO – Conservation</t>
  </si>
  <si>
    <t>L’établissement n’avait pas expédié des cellules, tissus ou organes dans des conditions ambiantes et matérielles appropriées.</t>
  </si>
  <si>
    <t>38 CTO Regulations – Storage</t>
  </si>
  <si>
    <t>38 Règlement sur les CTO – Conservation</t>
  </si>
  <si>
    <t>L’établissement n’avait pas mis des tissus à l’écart de façon appropriée.</t>
  </si>
  <si>
    <t>39 CTO Regulations – Storage</t>
  </si>
  <si>
    <t>39 Règlement sur les CTO – Conservation</t>
  </si>
  <si>
    <t>L’établissement n’avait pas mis à l’écart des cellules, tissus ou organes qui n’avaient pas encore fait l’objet d’essais ou dont les résultats des essais s’étaient révélés positifs.</t>
  </si>
  <si>
    <t>40(a-c) CTO Regulations – Exceptional Distribution</t>
  </si>
  <si>
    <r>
      <t>40</t>
    </r>
    <r>
      <rPr>
        <b/>
        <i/>
        <sz val="11"/>
        <color theme="1"/>
        <rFont val="Calibri"/>
        <family val="2"/>
        <scheme val="minor"/>
      </rPr>
      <t>a</t>
    </r>
    <r>
      <rPr>
        <b/>
        <sz val="11"/>
        <color theme="1"/>
        <rFont val="Calibri"/>
        <family val="2"/>
        <scheme val="minor"/>
      </rPr>
      <t>-</t>
    </r>
    <r>
      <rPr>
        <b/>
        <i/>
        <sz val="11"/>
        <color theme="1"/>
        <rFont val="Calibri"/>
        <family val="2"/>
        <scheme val="minor"/>
      </rPr>
      <t>c</t>
    </r>
    <r>
      <rPr>
        <b/>
        <sz val="11"/>
        <color theme="1"/>
        <rFont val="Calibri"/>
        <family val="2"/>
        <scheme val="minor"/>
      </rPr>
      <t>) Règlement sur les CTO – Distribution exceptionnelle</t>
    </r>
  </si>
  <si>
    <t>L’établissement n’avait pas respecté les conditions exigées permettant d’effectuer la distribution exceptionnelle.</t>
  </si>
  <si>
    <t>41(1-2) CTO Regulations – Exceptional Distribution</t>
  </si>
  <si>
    <t>41(1-2) Règlement sur les CTO – Distribution exceptionnelle</t>
  </si>
  <si>
    <t>L’établissement n’avait pas versé dans ses dossiers une copie des avis de distribution exceptionnelle.</t>
  </si>
  <si>
    <t>41(3) CTO Regulations – Exceptional Distribution</t>
  </si>
  <si>
    <t>41(3) Règlement sur les CTO – Distribution exceptionnelle</t>
  </si>
  <si>
    <t>Les avis de distribution exceptionnelle ne comportaient pas tous les renseignements exigés.</t>
  </si>
  <si>
    <t>42 CTO Regulations – Exceptional Distribution</t>
  </si>
  <si>
    <t>42 Règlement sur les CTO – Distribution exceptionnelle</t>
  </si>
  <si>
    <t>L’établissement n’avait pas fourni aux établissements où se faisait la transplantation les évaluations terminées de l’admissibilité du donneur lorsqu’on avait eu recours à la distribution exceptionnelle.</t>
  </si>
  <si>
    <t>43(1) CTO Regulations – Investigations and Reporting</t>
  </si>
  <si>
    <t>43(1) Règlement sur les CTO – Enquêtes et rapports</t>
  </si>
  <si>
    <t>L’établissement n’avait pas pris toutes les mesures nécessaires lorsque la sécurité des cellules, tissus ou organes avait pu être compromise par des accidents  ou des manquements pendant le traitement.</t>
  </si>
  <si>
    <t>43(2) CTO Regulations – Investigations and Reporting</t>
  </si>
  <si>
    <t>43(2) Règlement sur les CTO – Enquêtes et rapports</t>
  </si>
  <si>
    <t>L’importateur n’avait pas avisé les établissements centraux après avoir été informé d’accidents ou manquements.</t>
  </si>
  <si>
    <t>43(3) CTO Regulations – Investigations and Reporting</t>
  </si>
  <si>
    <t>43(3) Règlement sur les CTO – Enquêtes et rapports</t>
  </si>
  <si>
    <t>L’établissement n’avait pas complété les rapports d’accident ou de manquement de façon adéquate.</t>
  </si>
  <si>
    <t>43(4) CTO Regulations – Investigations and Reporting</t>
  </si>
  <si>
    <t>43(4) Règlement sur les CTO – Enquêtes et rapports</t>
  </si>
  <si>
    <t>L’établissement n’avait pas envoyé aussitôt que possible les avis écrits d’accidents ou de manquements.</t>
  </si>
  <si>
    <t>44(1) CTO Regulations – Investigations and Reporting</t>
  </si>
  <si>
    <t>44(1) Règlement sur les CTO – Enquêtes et rapports</t>
  </si>
  <si>
    <t>L’établissement central n’avait pas pris toutes les mesures nécessaires lorsque la sécurité des cellules, tissus ou organes avait pu être compromise par des accidents ou des manquements pendant le traitement.</t>
  </si>
  <si>
    <t>44(2) CTO Regulations – Investigations and Reporting</t>
  </si>
  <si>
    <t>44(2) Règlement sur les CTO – Enquêtes et rapports</t>
  </si>
  <si>
    <t>L’établissement central n’avait pas complété les rapports d’accident ou de manquement de façon adéquate.</t>
  </si>
  <si>
    <t>45 CTO Regulations – Investigations and Reporting</t>
  </si>
  <si>
    <t>45 Règlement sur les CTO – Enquêtes et rapports</t>
  </si>
  <si>
    <t>L’établissement central n’avait pas avisé les autres établissements lorsqu’une enquête n’était pas nécessaire.</t>
  </si>
  <si>
    <t>46 CTO Regulations – Investigations and Reporting</t>
  </si>
  <si>
    <t>46 Règlement sur les CTO – Enquêtes et rapports</t>
  </si>
  <si>
    <t>L’établissement, après avoir reçu des avis d’accident ou de manquement, n’avait pas immédiatement mis en quarantaine tous les organes, tissus ou cellules en cause.</t>
  </si>
  <si>
    <t>L’établissement n’avait pas envoyé une copie des avis d’accident ou de manquement à chacun des établissements auquel il avait distribué des cellules, tissus et organes.</t>
  </si>
  <si>
    <t>47(1) CTO Regulations – Investigations and Reporting</t>
  </si>
  <si>
    <t>47(1) Règlement sur les CTO – Enquêtes et rapports</t>
  </si>
  <si>
    <t>L’établissement n’avait pas pris toutes les mesures nécessaires lorsque des effets indésirables imprévus peuvent s’être produits.</t>
  </si>
  <si>
    <t>47(2) CTO Regulations – Investigations and Reporting</t>
  </si>
  <si>
    <t>47(2) Règlement sur les CTO – Enquêtes et rapports</t>
  </si>
  <si>
    <t>L’importateur n’avait pas avisé les établissements centraux lorsqu’il avait reçu des avis sur des effets indésirables.</t>
  </si>
  <si>
    <t>47(3) CTO Regulations – Investigations and Reporting</t>
  </si>
  <si>
    <t>47(3) Règlement sur les CTO – Enquêtes et rapports</t>
  </si>
  <si>
    <t>L’établissement n’avait pas complété les avis sur des effets indésirables de façon adéquate.</t>
  </si>
  <si>
    <t>47(4) CTO Regulations – Investigations and Reporting</t>
  </si>
  <si>
    <t>47(4) Règlement sur les CTO – Enquêtes et rapports</t>
  </si>
  <si>
    <t>L’établissement n’avait pas envoyé aussitôt que possible les avis écrits sur des effets indésirables.</t>
  </si>
  <si>
    <t>48(1) CTO Regulations – Investigations and Reporting</t>
  </si>
  <si>
    <t>48(1) Règlement sur les CTO – Enquêtes et rapports</t>
  </si>
  <si>
    <t xml:space="preserve">The source establishment did not take all required actions when unexpected adverse reactions may have occurred. </t>
  </si>
  <si>
    <t>L’établissement central n’avait pas pris toutes les mesures nécessaires lorsque des effets indésirables imprévus peuvent s’être produits.</t>
  </si>
  <si>
    <t>48(2) CTO Regulations – Investigations and Reporting</t>
  </si>
  <si>
    <t>48(2) Règlement sur les CTO – Enquêtes et rapports</t>
  </si>
  <si>
    <t>complété les avis sur des effets indésirables de façon adéquate.</t>
  </si>
  <si>
    <t>49 CTO Regulations – Investigations and Reporting</t>
  </si>
  <si>
    <t>49 Règlement sur les CTO – Enquêtes et rapports</t>
  </si>
  <si>
    <t>L’établissement, après avoir reçu des avis sur des effets indésirables, n’avait pas immédiatement mis en quarantaine tous les organes, tissus et cellules en cause.</t>
  </si>
  <si>
    <t>L’établissement n’avait pas envoyé de copie des avis sur des effets indésirables à chacun des établissements auquel il avait distribué des cellules, tissus et organes.</t>
  </si>
  <si>
    <t>50 CTO Regulations – Investigations and Reporting</t>
  </si>
  <si>
    <t>50 Règlement sur les CTO – Enquêtes et rapports</t>
  </si>
  <si>
    <t xml:space="preserve">The establishment did not provide source establishments with information relevant to investigations. </t>
  </si>
  <si>
    <t>L’établissement n’avait pas fourni aux établissements centraux les renseignements utiles aux enquêtes.</t>
  </si>
  <si>
    <t>51(1)(a) CTO Regulations – Investigations and Reporting</t>
  </si>
  <si>
    <r>
      <t>51(1)</t>
    </r>
    <r>
      <rPr>
        <b/>
        <i/>
        <sz val="11"/>
        <color theme="1"/>
        <rFont val="Calibri"/>
        <family val="2"/>
        <scheme val="minor"/>
      </rPr>
      <t>a)</t>
    </r>
    <r>
      <rPr>
        <b/>
        <sz val="11"/>
        <color theme="1"/>
        <rFont val="Calibri"/>
        <family val="2"/>
        <scheme val="minor"/>
      </rPr>
      <t> Règlement sur les CTO – Enquêtes et rapports</t>
    </r>
  </si>
  <si>
    <t xml:space="preserve">The source establishment did not provide Health Canada with error or accident reports where required. </t>
  </si>
  <si>
    <t>L’établissement central n’avait pas fourni à Santé Canada les rapports d’accident ou de manquement lorsque requis.</t>
  </si>
  <si>
    <t>51(1)(b) CTO Regulations – Investigations and Reporting</t>
  </si>
  <si>
    <r>
      <t>51(1)</t>
    </r>
    <r>
      <rPr>
        <b/>
        <i/>
        <sz val="11"/>
        <color theme="1"/>
        <rFont val="Calibri"/>
        <family val="2"/>
        <scheme val="minor"/>
      </rPr>
      <t>b)</t>
    </r>
    <r>
      <rPr>
        <b/>
        <sz val="11"/>
        <color theme="1"/>
        <rFont val="Calibri"/>
        <family val="2"/>
        <scheme val="minor"/>
      </rPr>
      <t> Règlement sur les CTO – Enquêtes et rapports</t>
    </r>
  </si>
  <si>
    <t>L’établissement central n’avait pas fourni à Santé Canada les rapports sur les effets indésirables graves imprévus lorsque requis.</t>
  </si>
  <si>
    <t>51(2)(a) CTO Regulations – Investigations and Reporting</t>
  </si>
  <si>
    <r>
      <t>51(2)</t>
    </r>
    <r>
      <rPr>
        <b/>
        <i/>
        <sz val="11"/>
        <color theme="1"/>
        <rFont val="Calibri"/>
        <family val="2"/>
        <scheme val="minor"/>
      </rPr>
      <t>a)</t>
    </r>
    <r>
      <rPr>
        <b/>
        <sz val="11"/>
        <color theme="1"/>
        <rFont val="Calibri"/>
        <family val="2"/>
        <scheme val="minor"/>
      </rPr>
      <t> Règlement sur les CTO – Enquêtes et rapports</t>
    </r>
  </si>
  <si>
    <t>L’établissement n’avait pas fourni à Santé Canada les rapports préliminaires d’accident ou de manquement dans les 24 heures suivant le début des enquêtes.</t>
  </si>
  <si>
    <t>L’établissement n’avait pas fourni à Santé Canada les rapports préliminaires sur les effets indésirables graves imprévus dans les 24 heures après le début des enquêtes.</t>
  </si>
  <si>
    <t>51(2)(b) CTO Regulations – Investigations and Reporting</t>
  </si>
  <si>
    <r>
      <t>51(2)</t>
    </r>
    <r>
      <rPr>
        <b/>
        <i/>
        <sz val="11"/>
        <color theme="1"/>
        <rFont val="Calibri"/>
        <family val="2"/>
        <scheme val="minor"/>
      </rPr>
      <t>b)</t>
    </r>
    <r>
      <rPr>
        <b/>
        <sz val="11"/>
        <color theme="1"/>
        <rFont val="Calibri"/>
        <family val="2"/>
        <scheme val="minor"/>
      </rPr>
      <t> Règlement sur les CTO – Enquêtes et rapports</t>
    </r>
  </si>
  <si>
    <t xml:space="preserve">The establishment did not provide Health Canada with the required information about suspected error or accident investigations every 15 days until the submission of final reports. </t>
  </si>
  <si>
    <t>L’établissement n’avait pas fourni à Santé Canada, tous les 15 jours jusqu’au dépôt du rapport final, les renseignements nécessaires sur les enquêtes concernant un accident ou un manquement soupçonné.</t>
  </si>
  <si>
    <t>L’établissement n’avait pas fourni à Santé Canada, tous les 15 jours jusqu’au dépôt du rapport final, les renseignements nécessaires sur les enquêtes concernant un effet indésirable grave.</t>
  </si>
  <si>
    <t>52(1) CTO Regulations – Investigations and Reporting</t>
  </si>
  <si>
    <t>52(1) Règlement sur les CTO – Enquêtes et rapports</t>
  </si>
  <si>
    <t xml:space="preserve">The source establishment did not advise the required establishments of the results of its investigations. </t>
  </si>
  <si>
    <t>L’établissement central n’avait pas avisé les établissements concernés du résultat de ses enquêtes.</t>
  </si>
  <si>
    <t>52(2) CTO Regulations – Investigations and Reporting</t>
  </si>
  <si>
    <t>52(2) Règlement sur les CTO – Enquêtes et rapports</t>
  </si>
  <si>
    <t>L’établissement n’avait pas avisé les établissements concernés des résultats des enquêtes menées par les établissements centraux.</t>
  </si>
  <si>
    <t>53(1) CTO Regulations – Investigations and Reporting</t>
  </si>
  <si>
    <r>
      <t>53(1)</t>
    </r>
    <r>
      <rPr>
        <b/>
        <i/>
        <sz val="11"/>
        <color theme="1"/>
        <rFont val="Calibri"/>
        <family val="2"/>
        <scheme val="minor"/>
      </rPr>
      <t> </t>
    </r>
    <r>
      <rPr>
        <b/>
        <sz val="11"/>
        <color theme="1"/>
        <rFont val="Calibri"/>
        <family val="2"/>
        <scheme val="minor"/>
      </rPr>
      <t>Règlement sur les CTO – Enquêtes et rapports</t>
    </r>
  </si>
  <si>
    <t>L’établissement central n’avait pas avisé les établissements concernés des résultats de ses enquêtes.</t>
  </si>
  <si>
    <t>53(2) CTO Regulations – Investigations and Reporting</t>
  </si>
  <si>
    <t>53(2) Règlement sur les CTO – Enquêtes et rapports</t>
  </si>
  <si>
    <t>54(1) CTO Regulations – Investigations and Reporting</t>
  </si>
  <si>
    <r>
      <t>54(1)</t>
    </r>
    <r>
      <rPr>
        <b/>
        <i/>
        <sz val="11"/>
        <color theme="1"/>
        <rFont val="Calibri"/>
        <family val="2"/>
        <scheme val="minor"/>
      </rPr>
      <t> </t>
    </r>
    <r>
      <rPr>
        <b/>
        <sz val="11"/>
        <color theme="1"/>
        <rFont val="Calibri"/>
        <family val="2"/>
        <scheme val="minor"/>
      </rPr>
      <t>Règlement sur les CTO – Enquêtes et rapports</t>
    </r>
  </si>
  <si>
    <t xml:space="preserve">The source establishment did not provide Health Canada with the final reports on its investigations. </t>
  </si>
  <si>
    <t>L’établissement central n’avait pas fourni à Santé Canada les rapports d’enquêtes finaux.</t>
  </si>
  <si>
    <t>L’établissement central n’avait pas fourni à Santé Canada tous les renseignements nécessaires dans ses rapports d’enquête finaux.</t>
  </si>
  <si>
    <t>54(2) CTO Regulations – Investigations and Reporting</t>
  </si>
  <si>
    <r>
      <t>54(2)</t>
    </r>
    <r>
      <rPr>
        <b/>
        <i/>
        <sz val="11"/>
        <color theme="1"/>
        <rFont val="Calibri"/>
        <family val="2"/>
        <scheme val="minor"/>
      </rPr>
      <t> </t>
    </r>
    <r>
      <rPr>
        <b/>
        <sz val="11"/>
        <color theme="1"/>
        <rFont val="Calibri"/>
        <family val="2"/>
        <scheme val="minor"/>
      </rPr>
      <t>Règlement sur les CTO – Enquêtes et rapports</t>
    </r>
  </si>
  <si>
    <t>L’établissement central n’avait pas envoyé les sommaires des rapports d’enquête finaux à tous les établissements concernés.</t>
  </si>
  <si>
    <t>54(3) CTO Regulations – Investigations and Reporting</t>
  </si>
  <si>
    <r>
      <t>54(3)</t>
    </r>
    <r>
      <rPr>
        <b/>
        <i/>
        <sz val="11"/>
        <color theme="1"/>
        <rFont val="Calibri"/>
        <family val="2"/>
        <scheme val="minor"/>
      </rPr>
      <t> </t>
    </r>
    <r>
      <rPr>
        <b/>
        <sz val="11"/>
        <color theme="1"/>
        <rFont val="Calibri"/>
        <family val="2"/>
        <scheme val="minor"/>
      </rPr>
      <t>Règlement sur les CTO – Enquêtes et rapports</t>
    </r>
  </si>
  <si>
    <t>L’établissement n’avait pas envoyé une copie des sommaires des rapports finaux d’enquêtes à tous les établissements concernés.</t>
  </si>
  <si>
    <t xml:space="preserve">55 CTO Regulations – Records </t>
  </si>
  <si>
    <r>
      <t>55</t>
    </r>
    <r>
      <rPr>
        <b/>
        <i/>
        <sz val="11"/>
        <color theme="1"/>
        <rFont val="Calibri"/>
        <family val="2"/>
        <scheme val="minor"/>
      </rPr>
      <t> </t>
    </r>
    <r>
      <rPr>
        <b/>
        <sz val="11"/>
        <color theme="1"/>
        <rFont val="Calibri"/>
        <family val="2"/>
        <scheme val="minor"/>
      </rPr>
      <t>Règlement sur les CTO – Dossiers</t>
    </r>
  </si>
  <si>
    <t>Le contenu des dossiers de l’établissement n’était pas exact, complet, lisible et indélébile.</t>
  </si>
  <si>
    <t>56(1) CTO Regulations – Records</t>
  </si>
  <si>
    <t>56(1) Règlement sur les CTO – Dossiers</t>
  </si>
  <si>
    <t>L’établissement central n’avait pas attribué un code d’identification du donneur à chaque donneur.</t>
  </si>
  <si>
    <t>56(2) CTO Regulations – Records</t>
  </si>
  <si>
    <t>56(2) Règlement sur les CTO – Dossiers</t>
  </si>
  <si>
    <t>L’établissement n’avait pas utilisé le code d’identification du donneur dans son système de dossiers.</t>
  </si>
  <si>
    <t>57 CTO Regulations – Records</t>
  </si>
  <si>
    <t>57 Règlement sur les CTO – Dossiers</t>
  </si>
  <si>
    <t>Les dossiers de l’établissement ne permettaient pas de déterminer l’établissement duquel provenaient les cellules, les tissus et les organes.</t>
  </si>
  <si>
    <t>Les dossiers de l’établissement ne permettaient pas de déterminer l’établissement auquel il avait distribué les cellules, les tissus et les organes.</t>
  </si>
  <si>
    <t>58 CTO Regulations – Records</t>
  </si>
  <si>
    <t>58 Règlement sur les CTO – Dossiers</t>
  </si>
  <si>
    <t>Les dossiers de l’établissement ne comprenaient pas tous les documents d’expédition.</t>
  </si>
  <si>
    <t>59 CTO Regulations – Records</t>
  </si>
  <si>
    <t>59 Règlement sur les CTO – Dossiers</t>
  </si>
  <si>
    <t xml:space="preserve">The source establishment did not keep all required records for the cells, tissues and organs it processed. </t>
  </si>
  <si>
    <t xml:space="preserve">L’établissement central n’avait pas tenu tous les dossiers nécessaires à l’égard des cellules, tissus et organes qu’il traitait. </t>
  </si>
  <si>
    <t>60 CTO Regulations – Records</t>
  </si>
  <si>
    <t>60 Règlement sur les CTO – Dossiers</t>
  </si>
  <si>
    <t>L’établissement où se fait la transplantation n’avait pas tenu tous les dossiers nécessaires à l’égard des cellules, tissus et organes qu’il avait transplanté.</t>
  </si>
  <si>
    <t>61 CTO Regulations – Records</t>
  </si>
  <si>
    <t>61 Règlement sur les CTO – Dossiers</t>
  </si>
  <si>
    <t>L’établissement n’avait pas fourni aux établissements centraux et aux établissements où se faisait la transplantation tous les renseignements requis permettant de compléter leurs dossiers.</t>
  </si>
  <si>
    <t>62(1-4) CTO Regulations – Records</t>
  </si>
  <si>
    <t>62(1-4) Règlement sur les CTO – Dossiers</t>
  </si>
  <si>
    <t>L’établissement n’avait pas respecté la période exigée de conservation des dossiers.</t>
  </si>
  <si>
    <t>63 CTO Regulations – Records</t>
  </si>
  <si>
    <t>63 Règlement sur les CTO – Dossiers</t>
  </si>
  <si>
    <t>L’établissement avait entreposé ses dossiers dans des lieux où les conditions ambiantes et matérielles étaient inadéquates.</t>
  </si>
  <si>
    <t>L’établissement avait entreposé ses dossiers dans des lieux accessibles à des personnes non autorisées.</t>
  </si>
  <si>
    <t>64(1) CTO Regulations – Personnel</t>
  </si>
  <si>
    <t>64(1) Règlement sur les CTO – Personnel</t>
  </si>
  <si>
    <t>L’établissement n’avait pas le personnel qualifié en nombre suffisant pour exercer ses activités.</t>
  </si>
  <si>
    <t>Les membres du personnel ne rencontraient pas toutes les exigences  quant  à leur qualification de par leur étude, leur formation ou  leur expérience pour accomplir leurs tâches respectives.</t>
  </si>
  <si>
    <t xml:space="preserve">64(2) CTO Regulations – Personnel </t>
  </si>
  <si>
    <t>64(2) Règlement sur les CTO – Personnel</t>
  </si>
  <si>
    <t xml:space="preserve">The establishment system for the orientation, training, and competency evaluation of staff was not sufficient. </t>
  </si>
  <si>
    <t>L’établissement avait un programme continu d’orientation, de formation et d’évaluation des compétences du personnel insuffisant.</t>
  </si>
  <si>
    <t xml:space="preserve">65 CTO Regulations – Facilities </t>
  </si>
  <si>
    <t>65 Règlement sur les CTO – Installations</t>
  </si>
  <si>
    <t>Les installations n’étaient pas construites et entretenues de manière à permettre l’exécution de toutes ou certaines des activités.</t>
  </si>
  <si>
    <t>Les installations n’étaient pas construites et entretenues de manière à permettre un nettoyage, un entretien et une désinfection efficaces.</t>
  </si>
  <si>
    <t xml:space="preserve">The facilities were not constructed and maintained to permit environmental and/or microbiological monitoring and control.  </t>
  </si>
  <si>
    <t>Les installations n’étaient pas construites et entretenues de manière à permettre la surveillance et/ou le contrôle des conditions ambiantes et microbiologiques.</t>
  </si>
  <si>
    <t>Les installations n’étaient pas construites et entretenues de manière à contrôler les accès aux zones d’activités.</t>
  </si>
  <si>
    <t>66 CTO Regulations – Equipment and Supplies</t>
  </si>
  <si>
    <t>66 Règlement sur les CTO – Équipement, matériel et produits</t>
  </si>
  <si>
    <t>L’équipement de nettoyage et d’entretien était inadéquat.</t>
  </si>
  <si>
    <t>L’équipement n’était pas qualifié en fonction de l’utilisation prévue.</t>
  </si>
  <si>
    <t>L’équipement n’avait pas été étalonné lorsque la situation l’exigeait.</t>
  </si>
  <si>
    <t>L’équipement n’avait pas été désinfecté ou stérilisé avant chaque utilisation lorsque la situation l’exigeait.</t>
  </si>
  <si>
    <t>67 CTO Regulations – Equipment and Supplies</t>
  </si>
  <si>
    <t>67 Règlement sur les CTO – Équipement, matériel et produits</t>
  </si>
  <si>
    <t>L’établissement n’avait pas utilisé l’équipement permettant de maintenir des conditions ambiantes et matérielles appropriées pour la conservation de cellules, tissus ou organes.</t>
  </si>
  <si>
    <t>68 CTO Regulations – Equipment and Supplies</t>
  </si>
  <si>
    <t>68 Règlement sur les CTO – Équipement, matériel et produits</t>
  </si>
  <si>
    <t>L’établissement avait utilisé du matériel et des produits de traitement non qualifiés.</t>
  </si>
  <si>
    <t xml:space="preserve">The establishment did not store solutions, reagents or other supplies under appropriate environmental conditions. </t>
  </si>
  <si>
    <t>L’établissement n’avait pas conservé les solutions, les réactifs ou tout autre produit dans des conditions ambiantes et matérielles adéquates.</t>
  </si>
  <si>
    <t>69 CTO Regulations – Equipment and Supplies</t>
  </si>
  <si>
    <t>69 Règlement sur les CTO – Équipement, matériel et produits</t>
  </si>
  <si>
    <t>L’établissement avait utilisé des produits de nettoyage, d’entretien, de désinfection ou de stérilisation qui auraient pu avoir des effets négatifs sur les cellules, tissus ou organes.</t>
  </si>
  <si>
    <t>71 CTO Regulations – Quality Assurance System</t>
  </si>
  <si>
    <t>71 Règlement sur les CTO – Système d’assurance de la qualité</t>
  </si>
  <si>
    <t>Le système d’assurance de la qualité de l’établissement n’était pas conforme aux exigences réglementaires.</t>
  </si>
  <si>
    <t>72 CTO Regulations – Quality Assurance System</t>
  </si>
  <si>
    <t>72 Règlement sur les CTO – Système d’assurance de la qualité</t>
  </si>
  <si>
    <t>L’établissement n’avait pas de procédures d’opération normalisées pour toutes ses activités.</t>
  </si>
  <si>
    <t xml:space="preserve">The establishment did not follow the standard operating procedures as written. </t>
  </si>
  <si>
    <t>L’établissement n’avait pas suivi les procédures d’opération normalisées telles qu’écrites.</t>
  </si>
  <si>
    <t>73 CTO Regulations – Quality Assurance System</t>
  </si>
  <si>
    <t>73 Règlement sur les CTO – Système d’assurance de la qualité</t>
  </si>
  <si>
    <t>Les procédures d’opération normalisées n’étaient pas dans un format type.</t>
  </si>
  <si>
    <t>Le directeur médical ou scientifique n’avait pas approuvé les procédures d’opération normalisées.</t>
  </si>
  <si>
    <t>Les procédures d’opération normalisées n’étaient pas accessibles aux endroits où les activités visées étaient pratiquées.</t>
  </si>
  <si>
    <t xml:space="preserve">The medical or scientific director did not approve changes to the standard operating procedures before they were implemented.   </t>
  </si>
  <si>
    <t>Le directeur médical ou scientifique n’avait pas approuvé les changements apportés aux procédures d’opération normalisées avant leur mise en application.</t>
  </si>
  <si>
    <t xml:space="preserve">The standard operating procedures were not kept up to date.  </t>
  </si>
  <si>
    <t>Les procédures d’opération normalisées n’avaient pas été tenues à jour.</t>
  </si>
  <si>
    <t>74 CTO Regulations – Quality Assurance System</t>
  </si>
  <si>
    <t>74 Règlement sur les CTO – Système d’assurance de la qualité</t>
  </si>
  <si>
    <t>L’établissement n’avait pas révisé ses procédures d’opération normalisées tous les deux ans.</t>
  </si>
  <si>
    <t>L’établissement n’avait pas révisé ses procédures d’opération normalisées à la suite d’une modification du Règlement.</t>
  </si>
  <si>
    <t xml:space="preserve">The establishment did not review their standard operating procedures after a deficiency was identified in an investigation or an audit. </t>
  </si>
  <si>
    <t>L’établissement n’avait pas révisé ses procédures d’opération normalisées après qu’une lacune eut été découverte lors d’une enquête ou d’une vérification.</t>
  </si>
  <si>
    <t>75 CTO Regulations – Quality Assurance System</t>
  </si>
  <si>
    <t>75 Règlement sur les CTO – Système d’assurance de la qualité</t>
  </si>
  <si>
    <t xml:space="preserve">The establishment did not keep records showing that standard operating procedures had been implemented. </t>
  </si>
  <si>
    <t>L’établissement n’avait pas conservé les dossiers démontrant la mise en application des procédures d’opération normalisées.</t>
  </si>
  <si>
    <t>76 CTO Regulations – Quality Assurance System</t>
  </si>
  <si>
    <t>76 Règlement sur les CTO – Système d’assurance de la qualité</t>
  </si>
  <si>
    <t xml:space="preserve">The establishment did not conduct an audit of all regulated activities every two years. </t>
  </si>
  <si>
    <t>L’établissement n’avait pas effectué de vérifications des activités visées par le Règlement tous les deux ans.</t>
  </si>
  <si>
    <t>La vérification avait été effectuée par une personne directement responsable des activités visées.</t>
  </si>
  <si>
    <t xml:space="preserve">For lymphohematopoietic cells, the establishment did not assess donors for all factors that could or would exclude them from donating.  </t>
  </si>
  <si>
    <t xml:space="preserve">For lymphohematopoietic cells, the establishment did not perform the required physical exam on the donors. </t>
  </si>
  <si>
    <r>
      <rPr>
        <sz val="11"/>
        <color theme="1"/>
        <rFont val="Calibri"/>
        <family val="2"/>
        <scheme val="minor"/>
      </rPr>
      <t>For lymphohematopoietic cells, the</t>
    </r>
    <r>
      <rPr>
        <sz val="11"/>
        <color rgb="FF000000"/>
        <rFont val="Calibri"/>
        <family val="2"/>
        <scheme val="minor"/>
      </rPr>
      <t xml:space="preserve"> physical exam of the donors was not recent and relevant. </t>
    </r>
  </si>
  <si>
    <t>The establishment did not adequately complete error or accident reports.</t>
  </si>
  <si>
    <t>L’établissement central n’avait pas complété les avis sur des effets indésirables de façon adéquate.</t>
  </si>
  <si>
    <t>Activities (EN)</t>
  </si>
  <si>
    <t>Activities (FR)</t>
  </si>
  <si>
    <t xml:space="preserve">4 - Prohibition </t>
  </si>
  <si>
    <t xml:space="preserve">6 - Registration </t>
  </si>
  <si>
    <t xml:space="preserve">13 - Registration  </t>
  </si>
  <si>
    <t>The establishment did not sufficiently demonstrate its responsibility for assessing the safety of cells, tissues or organs processed by themselves or by another establishment.</t>
  </si>
  <si>
    <t>16 - Processing - General</t>
  </si>
  <si>
    <t>17 - Processing - General</t>
  </si>
  <si>
    <t>18 - Donor Suitability Assessment</t>
  </si>
  <si>
    <t>19 - Donor Suitability Assessment</t>
  </si>
  <si>
    <t>20 - Donor Suitability Assessment</t>
  </si>
  <si>
    <t>21 - Donor Suitability Assessment</t>
  </si>
  <si>
    <t>22 - Donor Suitability Assessment</t>
  </si>
  <si>
    <t>For imported organs, the establishment did not have documentation of the donor suitability assessment.</t>
  </si>
  <si>
    <t>For imported organs, the establishment did not have a copy of the test results before transplantation.</t>
  </si>
  <si>
    <t>23 - Donor Suitability Assessment</t>
  </si>
  <si>
    <t xml:space="preserve">For imported lymphohematopoietic cells, the establishment did not have complete documentation of the donor suitability assessment.  </t>
  </si>
  <si>
    <t xml:space="preserve">For imported lymphohematopoietic cells, the establishment did not have complete documentation showing completion of all required tests on the donors. </t>
  </si>
  <si>
    <t>For imported lymphohematopoietic cells, the establishment did not have complete documentation to show that appropriate and effective tests for infectious diseases were used.</t>
  </si>
  <si>
    <t xml:space="preserve">For imported lymphohematopoietic cells, the establishment did not have complete documentation of the donor suitability assessment. </t>
  </si>
  <si>
    <t>24 - Retrieval</t>
  </si>
  <si>
    <t>25 - Testing</t>
  </si>
  <si>
    <t>26 - Testing</t>
  </si>
  <si>
    <t>27 - Testing</t>
  </si>
  <si>
    <t>28 - Packaging and labelling</t>
  </si>
  <si>
    <t>29 - Packaging and labelling</t>
  </si>
  <si>
    <t>30 - Packaging and labelling</t>
  </si>
  <si>
    <t>31 - Packaging and labelling</t>
  </si>
  <si>
    <t>32 - Packaging and labelling</t>
  </si>
  <si>
    <t>33 - Packaging and labelling</t>
  </si>
  <si>
    <t>34 - Quarantine</t>
  </si>
  <si>
    <t xml:space="preserve">36 - Storage </t>
  </si>
  <si>
    <t xml:space="preserve">37 - Storage </t>
  </si>
  <si>
    <t xml:space="preserve">38 - Storage </t>
  </si>
  <si>
    <t xml:space="preserve">39 - Storage </t>
  </si>
  <si>
    <t>40 - Exceptional Distribution</t>
  </si>
  <si>
    <t>41 - Exceptional Distribution</t>
  </si>
  <si>
    <t>The establishment did not provide the transplant establishments with the completed donor suitability documentation when exceptional distribution was used.</t>
  </si>
  <si>
    <t>43 - Errors and Accidents</t>
  </si>
  <si>
    <t>44 - Errors and Accidents</t>
  </si>
  <si>
    <t>45 - Errors and Accidents</t>
  </si>
  <si>
    <t>46 - Errors and Accidents</t>
  </si>
  <si>
    <t>47 - Adverse Reactions</t>
  </si>
  <si>
    <t>48 - Adverse Reactions</t>
  </si>
  <si>
    <t>49 - Adverse Reactions</t>
  </si>
  <si>
    <t>51 - Investigations and Reporting</t>
  </si>
  <si>
    <t>52 - Investigations and Reporting</t>
  </si>
  <si>
    <t>53 - Investigations and Reporting</t>
  </si>
  <si>
    <t>54 - Investigations and Reporting</t>
  </si>
  <si>
    <t xml:space="preserve">56 - Records </t>
  </si>
  <si>
    <t xml:space="preserve">57 - Records </t>
  </si>
  <si>
    <t xml:space="preserve">58 - Records </t>
  </si>
  <si>
    <t xml:space="preserve">59 - Records </t>
  </si>
  <si>
    <t xml:space="preserve">60 - Records </t>
  </si>
  <si>
    <t xml:space="preserve">61 - Records </t>
  </si>
  <si>
    <t xml:space="preserve">62 - Records </t>
  </si>
  <si>
    <t xml:space="preserve">63 - Records </t>
  </si>
  <si>
    <t>64 - Personnel</t>
  </si>
  <si>
    <t>Personnel did not meet all required qualifications with regard to their education, training or experience to perform their respective tasks.</t>
  </si>
  <si>
    <t xml:space="preserve">71 - Quality Assurance System - General </t>
  </si>
  <si>
    <t>72 - Standard Operating Procedures</t>
  </si>
  <si>
    <t>73 - Standard Operating Procedures</t>
  </si>
  <si>
    <t>74 - Standard Operating Procedures</t>
  </si>
  <si>
    <t>75 - Standard Operating Procedures</t>
  </si>
  <si>
    <t>76 - Standard Operating Procedures</t>
  </si>
  <si>
    <t>4 - Interdiction</t>
  </si>
  <si>
    <t>6 - Enregistrement</t>
  </si>
  <si>
    <t>13 - Enregistrement</t>
  </si>
  <si>
    <t>14 - Enregistrement</t>
  </si>
  <si>
    <t>15 - Établissement central</t>
  </si>
  <si>
    <t>16 -Traitement - Dispositions générales</t>
  </si>
  <si>
    <t>17 - Traitement - Dispositions générales</t>
  </si>
  <si>
    <t>18 -Évaluation de l’admissibilité du donneur</t>
  </si>
  <si>
    <t>19 -Évaluation de l’admissibilité du donneur</t>
  </si>
  <si>
    <t>20 -Évaluation de l’admissibilité du donneur</t>
  </si>
  <si>
    <t>21 -Évaluation de l’admissibilité du donneur</t>
  </si>
  <si>
    <t>22 -Évaluation de l’admissibilité du donneur</t>
  </si>
  <si>
    <t>23 -Évaluation de l’admissibilité du donneur</t>
  </si>
  <si>
    <t>24 - Prélèvement</t>
  </si>
  <si>
    <t>25 - Essais</t>
  </si>
  <si>
    <t>26 - Essais</t>
  </si>
  <si>
    <t>27 - Essais</t>
  </si>
  <si>
    <t>28 - Emballage et étiquetage</t>
  </si>
  <si>
    <t>29 - Emballage et étiquetage</t>
  </si>
  <si>
    <t>30 - Emballage et étiquetage</t>
  </si>
  <si>
    <t>31 - Emballage et étiquetage</t>
  </si>
  <si>
    <t>32 - Emballage et étiquetage</t>
  </si>
  <si>
    <t>33 - Emballage et étiquetage</t>
  </si>
  <si>
    <t xml:space="preserve">34 - Quarantaine </t>
  </si>
  <si>
    <t>35 - Conservation</t>
  </si>
  <si>
    <t>36 - Conservation</t>
  </si>
  <si>
    <t>37 - Conservation</t>
  </si>
  <si>
    <t>38 - Conservation</t>
  </si>
  <si>
    <t>39 - Conservation</t>
  </si>
  <si>
    <t>40 - Distribution exceptionnelle</t>
  </si>
  <si>
    <t>41 - Distribution exceptionnelle</t>
  </si>
  <si>
    <t>42 - Distribution exceptionnelle</t>
  </si>
  <si>
    <t>43 - Accidents et manquements</t>
  </si>
  <si>
    <t>44 - Accidents et manquements</t>
  </si>
  <si>
    <t>45 - Accidents et manquements</t>
  </si>
  <si>
    <t>46 - Accidents et manquements</t>
  </si>
  <si>
    <t>47 - Effets indésirables</t>
  </si>
  <si>
    <t>48 - Effets indésirables</t>
  </si>
  <si>
    <t>49 - Effets indésirables</t>
  </si>
  <si>
    <t>50 - Enquêtes et rapports</t>
  </si>
  <si>
    <t>51 - Enquêtes et rapports</t>
  </si>
  <si>
    <t>52 - Enquêtes et rapports</t>
  </si>
  <si>
    <t>53 - Enquêtes et rapports</t>
  </si>
  <si>
    <t>54 - Enquêtes et rapports</t>
  </si>
  <si>
    <t>55 - Dossiers</t>
  </si>
  <si>
    <t>56 - Dossiers</t>
  </si>
  <si>
    <t>57 - Dossiers</t>
  </si>
  <si>
    <t>58 - Dossiers</t>
  </si>
  <si>
    <t>59 - Dossiers</t>
  </si>
  <si>
    <t>60 - Dossiers</t>
  </si>
  <si>
    <t>61 - Dossiers</t>
  </si>
  <si>
    <t>62 - Dossiers</t>
  </si>
  <si>
    <t>63 - Dossiers</t>
  </si>
  <si>
    <t>65 - Installations</t>
  </si>
  <si>
    <t>66 - Équipement, matériel et produits</t>
  </si>
  <si>
    <t>67 - Équipement, matériel et produits</t>
  </si>
  <si>
    <t>68 - Équipement, matériel et produits</t>
  </si>
  <si>
    <t>69 - Équipement, matériel et produits</t>
  </si>
  <si>
    <t xml:space="preserve">71 - Système d’assurance de la qualité - Dispositions générales </t>
  </si>
  <si>
    <t xml:space="preserve">72 - Procédures d’opération normalisées </t>
  </si>
  <si>
    <t>73 - Procédures d’opération normalisées</t>
  </si>
  <si>
    <t>74 - Procédures d’opération normalisées</t>
  </si>
  <si>
    <t>75 - Procédures d’opération normalisées</t>
  </si>
  <si>
    <t>76 - Procédures d’opération normalisées</t>
  </si>
  <si>
    <t>L’établissement n’avait pas avisé Santé Canada par écrit  d’un changement apporté aux renseignements figurant dans sa demande d’enregistrement dans les trente jours suivant ce changement.</t>
  </si>
  <si>
    <t>L’établissement n’avait  pas les renseignements demandés à Santé Canada dans le délai prescrit.</t>
  </si>
  <si>
    <t>L’établissement n’avait pas suffisamment démontré sa responsabilité au sujet de l’évaluation de la sécurité  des cellules, tissus ou organes  qui ont été traités par lui-même ou par un autre établissement.</t>
  </si>
  <si>
    <t>Dans le cas de cellules lymphohématopoïétiques importées, l’établissement ne disposait pas de la documentation complète concernant l’évaluation de l’admissibilité des donneurs.</t>
  </si>
  <si>
    <t>Dans le cas de cellules lymphohématopoïétiques importées, l’établissement ne disposait pas de la documentation complète permettant de démontrer que tous les essais exigés avaient été effectués.</t>
  </si>
  <si>
    <t>Dans le cas de cellules lymphohématopoïétiques importées, l’établissement ne disposait pas de  la documentation complète permettant de démontrer que les essais appropriés et efficaces avaient été effectués  aux fins de dépistage des maladies infectieuses.</t>
  </si>
  <si>
    <t xml:space="preserve"> Dans le cas de cellules lymphohématopoïétiques importées, l’établissement ne disposait pas de la documentation complète concernant l’évaluation de l’admissibilité de donneurs.</t>
  </si>
  <si>
    <t>L’établissement n’avait pas envoyé une copie  des avis d’accident ou de manquement à chacun des établissements auquel il avait distribué des cellules, tissus et organes.</t>
  </si>
  <si>
    <t>L’établissement n’avait pas pris toutes les mesures nécessaires lorsque des effets indésirables imprévus auraient pu se produire.</t>
  </si>
  <si>
    <t>L’établissement central n’avait pas pris toutes les mesures nécessaires lorsque des effets indésirables imprévus auraient pu se produire</t>
  </si>
  <si>
    <t>L’établissement central n’avait pas  complété les avis sur des effets indésirables de façon adéquate.</t>
  </si>
  <si>
    <r>
      <t>L’établissement central n’avait pas tenu tous les dossiers nécessaires à l’égard des cellules, tissus et organes qu’il traitait.</t>
    </r>
    <r>
      <rPr>
        <strike/>
        <u/>
        <sz val="11"/>
        <color rgb="FFFF0000"/>
        <rFont val="Calibri"/>
        <family val="2"/>
        <scheme val="minor"/>
      </rPr>
      <t xml:space="preserve"> </t>
    </r>
    <r>
      <rPr>
        <u/>
        <sz val="11"/>
        <color rgb="FF008080"/>
        <rFont val="Calibri"/>
        <family val="2"/>
        <scheme val="minor"/>
      </rPr>
      <t xml:space="preserve"> </t>
    </r>
  </si>
  <si>
    <t>Les membres du personnel ne rencontraient pas toutes les exigences  quant  à leur qualification de par leurs études, leur formation ou  leur expérience pour accomplir leurs tâches respectives.</t>
  </si>
  <si>
    <t>Activites (EN)</t>
  </si>
  <si>
    <t>4 – Prohibition</t>
  </si>
  <si>
    <t xml:space="preserve">4 – Interdiction </t>
  </si>
  <si>
    <r>
      <t>Deficiencies were noted related to prohibited activities outlined in the</t>
    </r>
    <r>
      <rPr>
        <i/>
        <sz val="12"/>
        <color theme="1"/>
        <rFont val="Calibri"/>
        <family val="2"/>
      </rPr>
      <t xml:space="preserve"> Safety of Human Cells, Tissues and Organs for Transplantation Regulations</t>
    </r>
    <r>
      <rPr>
        <sz val="12"/>
        <color theme="1"/>
        <rFont val="Calibri"/>
        <family val="2"/>
      </rPr>
      <t>.</t>
    </r>
  </si>
  <si>
    <r>
      <t xml:space="preserve">Des lacunes ont été notées concernant les activités interdites indiquées dans le </t>
    </r>
    <r>
      <rPr>
        <i/>
        <sz val="12"/>
        <color theme="1"/>
        <rFont val="Calibri"/>
        <family val="2"/>
      </rPr>
      <t>Règlement sur la sécurité des cellules, tissus et organes humains destinés à la transplantation</t>
    </r>
    <r>
      <rPr>
        <sz val="12"/>
        <color theme="1"/>
        <rFont val="Calibri"/>
        <family val="2"/>
      </rPr>
      <t xml:space="preserve">. </t>
    </r>
  </si>
  <si>
    <t xml:space="preserve">5-14 – Registration </t>
  </si>
  <si>
    <t>5-14 – Demande d’enregistrement</t>
  </si>
  <si>
    <t>Deficiencies were noted with the establishment’s application for registration.</t>
  </si>
  <si>
    <t>Des lacunes ont été notées concernant la demande d’enregistrement de l’établissement.</t>
  </si>
  <si>
    <t>Deficiencies were noted in the notification of registration changes to Health Canada.</t>
  </si>
  <si>
    <t>Des lacunes ont été notées concernant l’avis à Santé Canada au sujet des changements apportés à l’enregistrement.</t>
  </si>
  <si>
    <t>Deficiencies were noted in the information provided to Health Canada.</t>
  </si>
  <si>
    <t>Des lacunes ont été notées concernant les renseignements fournis à Santé Canada.</t>
  </si>
  <si>
    <t xml:space="preserve">15 – Source Establishment </t>
  </si>
  <si>
    <t xml:space="preserve">15 – Établissement central </t>
  </si>
  <si>
    <t>Deficiencies were noted in the source establishment meeting its responsibilities.</t>
  </si>
  <si>
    <t>Des lacunes ont été notées concernant le respect des responsabilités que doit assumer l’établissement central.</t>
  </si>
  <si>
    <t xml:space="preserve">16–34 – Processing </t>
  </si>
  <si>
    <t xml:space="preserve">16 à 34 – Traitement </t>
  </si>
  <si>
    <t>Deficiencies were noted in the general processing of cells, tissues or organs.</t>
  </si>
  <si>
    <t xml:space="preserve">Des lacunes ont été notées concernant le traitement général des cellules, des tissus ou des organes. </t>
  </si>
  <si>
    <t>Deficiencies were noted in donor suitability assessment.</t>
  </si>
  <si>
    <t>Des lacunes ont été notées concernant l’évaluation de l’admissibilité du donneur.</t>
  </si>
  <si>
    <t xml:space="preserve">Deficiencies were noted in regards to retrieval of tissues.  </t>
  </si>
  <si>
    <t>Des lacunes ont été notées concernant le prélèvement de tissus.</t>
  </si>
  <si>
    <t>Deficiencies were noted in testing.</t>
  </si>
  <si>
    <t>Des lacunes ont été notées concernant les essais.</t>
  </si>
  <si>
    <t>Deficiencies were noted in the packaging or labelling of cells, tissues or organs.</t>
  </si>
  <si>
    <t xml:space="preserve">Des lacunes ont été notées concernant l’emballage ou l’étiquetage des cellules, des tissus ou des organes. </t>
  </si>
  <si>
    <t xml:space="preserve">Deficiencies were noted with the required quarantine of cells or tissues. </t>
  </si>
  <si>
    <t xml:space="preserve">Des lacunes ont été notées concernant la mise en quarantaine requise des cellules ou des tissus. </t>
  </si>
  <si>
    <t>35–39 – Storage</t>
  </si>
  <si>
    <t xml:space="preserve">35 à 39 – Conservation </t>
  </si>
  <si>
    <t>Deficiencies were noted in the storage of cells, tissues or organs.</t>
  </si>
  <si>
    <t>Des lacunes ont été notées concernant la conservation des cellules, des tissus ou des organes.</t>
  </si>
  <si>
    <t>40–42 – Exceptional Distribution</t>
  </si>
  <si>
    <t>40 à 42 – Distribution exceptionnelle</t>
  </si>
  <si>
    <t>Deficiencies were noted in the establishment’s exceptional distribution process.</t>
  </si>
  <si>
    <t>Des lacunes ont été notées concernant le processus de distribution exceptionnelle de l’établissement.</t>
  </si>
  <si>
    <t xml:space="preserve">43-54 – Error, Accident and Adverse Reaction Investigation and Reporting </t>
  </si>
  <si>
    <t xml:space="preserve">43 à 54 – Enquêtes et rapports concernant les accidents, manquements et effets indésirables </t>
  </si>
  <si>
    <t xml:space="preserve">Deficiencies were noted in the actions taken when errors or accidents occurred. </t>
  </si>
  <si>
    <t>Des lacunes ont été notées concernant les mesures prises en cas d’accidents ou de manquements.</t>
  </si>
  <si>
    <t>Des lacunes ont été notées concernant les mesures prises en cas d’effets indésirables imprévus.</t>
  </si>
  <si>
    <t>Deficiencies were noted in the investigation and reporting of errors, accidents or adverse reactions.</t>
  </si>
  <si>
    <t>Des lacunes ont été notées concernant les enquêtes et les rapports d’accidents, de manquements et d’effets indésirables.</t>
  </si>
  <si>
    <t>CTO Regulations 55–63 – Records</t>
  </si>
  <si>
    <t xml:space="preserve">55 à 63 – Dossiers </t>
  </si>
  <si>
    <t>Deficiencies were noted in the establishment’s records.</t>
  </si>
  <si>
    <t>Des lacunes ont été notées concernant les dossiers de l’établissement.</t>
  </si>
  <si>
    <t xml:space="preserve">64-69 – Personnel, Facilities, Equipment and Supplies </t>
  </si>
  <si>
    <t xml:space="preserve">64 à 69 – Personnel, installations, équipements et produits </t>
  </si>
  <si>
    <t xml:space="preserve">Deficiencies were noted in personnel qualifications or training. </t>
  </si>
  <si>
    <t>Des lacunes ont été notées concernant les qualifications ou la formation du personnel.</t>
  </si>
  <si>
    <t>Deficiencies were noted in the construction or maintenance of the facilities.</t>
  </si>
  <si>
    <t>Des lacunes ont été notées concernant la construction ou l’entretien des installations.</t>
  </si>
  <si>
    <t xml:space="preserve">Deficiencies were noted with equipment or supplies used in processing or storage activities. </t>
  </si>
  <si>
    <t>Des lacunes ont été notées concernant l’équipement ou le matériel utilisé dans le cadre des activités de traitement ou de conservation.</t>
  </si>
  <si>
    <t>70-76 – Quality Assurance System</t>
  </si>
  <si>
    <t xml:space="preserve">70 à 76 – Système d’assurance de la qualité </t>
  </si>
  <si>
    <t>Deficiencies were noted with the quality assurance system</t>
  </si>
  <si>
    <t>Des lacunes ont été notées concernant le système d’assurance de la qualité.</t>
  </si>
  <si>
    <t>Deficiencies were noted with standard operating procedures or audits.</t>
  </si>
  <si>
    <t>Des lacunes ont été notées concernant les procédures d’opération normalisées ou les vérifications.</t>
  </si>
  <si>
    <t>Deficiencies were noted in the actions taken when unexpected adverse reactions occurred.</t>
  </si>
  <si>
    <r>
      <t>Deficiencies were noted related to prohibited activities outlined in the</t>
    </r>
    <r>
      <rPr>
        <i/>
        <sz val="12"/>
        <color theme="1"/>
        <rFont val="Calibri"/>
        <family val="2"/>
        <scheme val="minor"/>
      </rPr>
      <t xml:space="preserve"> Safety of Human Cells, Tissues and Organs for Transplantation Regulations</t>
    </r>
    <r>
      <rPr>
        <sz val="12"/>
        <color theme="1"/>
        <rFont val="Calibri"/>
        <family val="2"/>
        <scheme val="minor"/>
      </rPr>
      <t>.</t>
    </r>
  </si>
  <si>
    <t>Regulation_Deficiency (FR)</t>
  </si>
  <si>
    <t>Regulation_Deficiency (EN)</t>
  </si>
  <si>
    <t>We requested corrective actions.</t>
  </si>
  <si>
    <t>We evaluated the establishment’s corrective actions and found them to be satisfactory.</t>
  </si>
  <si>
    <t>We evaluated the establishment’s corrective actions and found they were not satisfactory.</t>
  </si>
  <si>
    <r>
      <t xml:space="preserve">We evaluated the establishment’s corrective actions and </t>
    </r>
    <r>
      <rPr>
        <sz val="10"/>
        <color theme="1"/>
        <rFont val="Arial"/>
        <family val="2"/>
      </rPr>
      <t xml:space="preserve">may conduct </t>
    </r>
    <r>
      <rPr>
        <sz val="10"/>
        <color rgb="FF000000"/>
        <rFont val="Arial"/>
        <family val="2"/>
      </rPr>
      <t>a re-inspection.</t>
    </r>
  </si>
  <si>
    <r>
      <t xml:space="preserve">We evaluated the establishment’s corrective actions and </t>
    </r>
    <r>
      <rPr>
        <sz val="10"/>
        <color theme="1"/>
        <rFont val="Arial"/>
        <family val="2"/>
      </rPr>
      <t xml:space="preserve">may conduct </t>
    </r>
    <r>
      <rPr>
        <sz val="10"/>
        <color rgb="FF000000"/>
        <rFont val="Arial"/>
        <family val="2"/>
      </rPr>
      <t>a re-assessment.</t>
    </r>
  </si>
  <si>
    <t>A voluntary recall was requested.</t>
  </si>
  <si>
    <t>We issued a proposal to cancel the establishment’s registration.</t>
  </si>
  <si>
    <t>We issued a notice of cancellation for the establishment’s registration.</t>
  </si>
  <si>
    <t>We immediately issued a notice of cancellation for the establishment’s registration.</t>
  </si>
  <si>
    <t>We cancelled the establishment’s registration.</t>
  </si>
  <si>
    <t>We refused to register the establishment.</t>
  </si>
  <si>
    <t>We issued an exit notice to the establishment and no observations were cited.</t>
  </si>
  <si>
    <t>We issued a registration to the establishment.</t>
  </si>
  <si>
    <t>We did not issue a registration to the establishment.</t>
  </si>
  <si>
    <t>Nous avons demandé des mesures correctives.</t>
  </si>
  <si>
    <t>Nous avons évalué les mesures correctives de l’établissement et les avons considérées satisfaisantes.</t>
  </si>
  <si>
    <t>Nous avons évalué les mesures correctives de l’établissement et les avons considérées insatisfaisantes.</t>
  </si>
  <si>
    <t>Nous avons évalué les mesures correctives de l’établissement et il se peut que nous fassions une réinspection.</t>
  </si>
  <si>
    <t>Nous avons évalué les mesures correctives de l’établissement et il se peut que nous fassions une réévaluation.</t>
  </si>
  <si>
    <t>Un retrait volontaire a été demandé.</t>
  </si>
  <si>
    <t>Des produits ont été saisis et détenus.</t>
  </si>
  <si>
    <t>Nous avons émis une proposition pour annuler l’enregistrement de l’établissement.</t>
  </si>
  <si>
    <t>Nous avons émis un avis d’annulation de l’enregistrement de l’établissement.</t>
  </si>
  <si>
    <t>Nous avons émis sur-le-champ un avis d’annulation de l’enregistrement de l’établissement.</t>
  </si>
  <si>
    <t>Nous avons annulé l’enregistrement de l’établissement.</t>
  </si>
  <si>
    <r>
      <t xml:space="preserve">Nous avons refusé d’enregistrer </t>
    </r>
    <r>
      <rPr>
        <u/>
        <sz val="10"/>
        <color rgb="FF008080"/>
        <rFont val="Arial"/>
        <family val="2"/>
      </rPr>
      <t xml:space="preserve"> </t>
    </r>
    <r>
      <rPr>
        <sz val="10"/>
        <color rgb="FF000000"/>
        <rFont val="Arial"/>
        <family val="2"/>
      </rPr>
      <t>l’établissement.</t>
    </r>
  </si>
  <si>
    <t>Nous avons émis un avis de fin d’inspection à l’établissement et aucune observation n’a été citée.</t>
  </si>
  <si>
    <t>Nous avons émis un enregistrement à l’établissement.</t>
  </si>
  <si>
    <t>Nous n’avons pas émis d’enregistrement à l’établissement.</t>
  </si>
  <si>
    <t>Processing, Importation, Distribution</t>
  </si>
  <si>
    <t>Processing, Distribution</t>
  </si>
  <si>
    <t>Importation, Distribution</t>
  </si>
  <si>
    <t>Distribution</t>
  </si>
  <si>
    <t>Processing, Importation, Distribution, Storage</t>
  </si>
  <si>
    <t>Distribution, Storage</t>
  </si>
  <si>
    <t>Distribution, Conservation</t>
  </si>
  <si>
    <t>Traitement, Importation, Distribution, Conservation</t>
  </si>
  <si>
    <t>Traitement, Importation, Distribution</t>
  </si>
  <si>
    <t>Traitement, Distribution</t>
  </si>
  <si>
    <t>4 - Prohibition</t>
  </si>
  <si>
    <t xml:space="preserve">5-14 - Registration </t>
  </si>
  <si>
    <t xml:space="preserve">15 - Source Establishment </t>
  </si>
  <si>
    <t xml:space="preserve">43-54 - Error, Accident and Adverse Reaction Investigation and Reporting </t>
  </si>
  <si>
    <t xml:space="preserve">64-69 - Personnel, Facilities, Equipment and Supplies </t>
  </si>
  <si>
    <t>70-76 - Quality Assurance System</t>
  </si>
  <si>
    <t xml:space="preserve">16-34 - Processing </t>
  </si>
  <si>
    <t>35-39 - Storage</t>
  </si>
  <si>
    <t>40-42 - Exceptional Distribution</t>
  </si>
  <si>
    <t>55-63 - Records</t>
  </si>
  <si>
    <t xml:space="preserve">4 - Interdiction </t>
  </si>
  <si>
    <t>5 à 14 - Demande d’enregistrement</t>
  </si>
  <si>
    <t xml:space="preserve">15 - Établissement central </t>
  </si>
  <si>
    <t xml:space="preserve">16 à 34 - Traitement </t>
  </si>
  <si>
    <t xml:space="preserve">35 à 39 - Conservation </t>
  </si>
  <si>
    <t>40 à 42 - Distribution exceptionnelle</t>
  </si>
  <si>
    <t xml:space="preserve">43 à 54 - Enquêtes et rapports concernant les accidents, manquements et effets indésirables </t>
  </si>
  <si>
    <t xml:space="preserve">55 à 63 - Dossiers </t>
  </si>
  <si>
    <t xml:space="preserve">64 à 69 - Personnel, installations, équipements et produits </t>
  </si>
  <si>
    <t xml:space="preserve">70 à 76 - Système d’assurance de la qualité </t>
  </si>
  <si>
    <t>Inspection Start Date (YYYY-MM-DD)</t>
  </si>
  <si>
    <t>Inspection End Date (YYYY-MM-DD)</t>
  </si>
  <si>
    <t>Processing, Distribution, Storage</t>
  </si>
  <si>
    <t>Traitement, Distribution, Conservation</t>
  </si>
  <si>
    <t>Licensed (EN)</t>
  </si>
  <si>
    <t>Licensed (FR)</t>
  </si>
  <si>
    <t>Processing, Importation, Storage</t>
  </si>
  <si>
    <t>Traitement, Importation, Conservation</t>
  </si>
  <si>
    <t xml:space="preserve">4 – Prohibition </t>
  </si>
  <si>
    <t>4 – Interdiction</t>
  </si>
  <si>
    <t>6 – Enregistrement</t>
  </si>
  <si>
    <t xml:space="preserve">13 – Registration  </t>
  </si>
  <si>
    <t>13 – Enregistrement</t>
  </si>
  <si>
    <t xml:space="preserve">14 – Registration  </t>
  </si>
  <si>
    <t>14 – Enregistrement</t>
  </si>
  <si>
    <t>15 – Source Establishment</t>
  </si>
  <si>
    <t>15 – Établissement central</t>
  </si>
  <si>
    <t xml:space="preserve">16 – Processing – General </t>
  </si>
  <si>
    <t>16 –Traitement - Dispositions générales</t>
  </si>
  <si>
    <t xml:space="preserve">17 – Processing – General </t>
  </si>
  <si>
    <t>17 – Traitement - Dispositions générales</t>
  </si>
  <si>
    <t>18 –Donor Suitability Assessment</t>
  </si>
  <si>
    <t>18 –Évaluation de l’admissibilité du donneur</t>
  </si>
  <si>
    <t>19 –Donor Suitability Assessment</t>
  </si>
  <si>
    <t>19 –Évaluation de l’admissibilité du donneur</t>
  </si>
  <si>
    <t>20 –Donor Suitability Assessment</t>
  </si>
  <si>
    <t>20 –Évaluation de l’admissibilité du donneur</t>
  </si>
  <si>
    <t>21 –Donor Suitability Assessment</t>
  </si>
  <si>
    <t>21 –Évaluation de l’admissibilité du donneur</t>
  </si>
  <si>
    <t>22 –Donor Suitability Assessment</t>
  </si>
  <si>
    <t>22 –Évaluation de l’admissibilité du donneur</t>
  </si>
  <si>
    <t>23 –Donor Suitability Assessment</t>
  </si>
  <si>
    <t>23 –Évaluation de l’admissibilité du donneur</t>
  </si>
  <si>
    <t>24– Retrieval</t>
  </si>
  <si>
    <t>24 – Prélèvement</t>
  </si>
  <si>
    <t>25 – Testing</t>
  </si>
  <si>
    <t>25 – Essais</t>
  </si>
  <si>
    <t>26 – Testing</t>
  </si>
  <si>
    <t>26 – Essais</t>
  </si>
  <si>
    <t>27– Testing</t>
  </si>
  <si>
    <t>27 – Essais</t>
  </si>
  <si>
    <t>28 – Packaging and labelling</t>
  </si>
  <si>
    <t>28 – Emballage et étiquetage</t>
  </si>
  <si>
    <t>29 – Packaging and labelling</t>
  </si>
  <si>
    <t>29 – Emballage et étiquetage</t>
  </si>
  <si>
    <t>30 – Packaging and labelling</t>
  </si>
  <si>
    <t>30 – Emballage et étiquetage</t>
  </si>
  <si>
    <t>31 – Packaging and labelling</t>
  </si>
  <si>
    <t>31 – Emballage et étiquetage</t>
  </si>
  <si>
    <t>32 – Packaging and labelling</t>
  </si>
  <si>
    <t>32 – Emballage et étiquetage</t>
  </si>
  <si>
    <t>33 – Packaging and labelling</t>
  </si>
  <si>
    <t>33 – Emballage et étiquetage</t>
  </si>
  <si>
    <t xml:space="preserve">34 – Quarantaine </t>
  </si>
  <si>
    <t xml:space="preserve">35 – Storage </t>
  </si>
  <si>
    <t>35 – Conservation</t>
  </si>
  <si>
    <t xml:space="preserve">36 – Storage </t>
  </si>
  <si>
    <t>36 – Conservation</t>
  </si>
  <si>
    <t xml:space="preserve">37 – Storage </t>
  </si>
  <si>
    <t>37 – Conservation</t>
  </si>
  <si>
    <r>
      <t>For organ or islet cell donors, t</t>
    </r>
    <r>
      <rPr>
        <sz val="11"/>
        <color theme="1"/>
        <rFont val="Calibri"/>
        <family val="2"/>
        <scheme val="minor"/>
      </rPr>
      <t>he establishment did not use appropriate and effective tests for infectious disease testing.</t>
    </r>
  </si>
  <si>
    <r>
      <t>For organ or islet cell donors, t</t>
    </r>
    <r>
      <rPr>
        <sz val="11"/>
        <color theme="1"/>
        <rFont val="Calibri"/>
        <family val="2"/>
        <scheme val="minor"/>
      </rPr>
      <t>he establishment did not test for infectious diseases within established timelines.</t>
    </r>
  </si>
  <si>
    <r>
      <t>For organ or islet cell donors, t</t>
    </r>
    <r>
      <rPr>
        <sz val="11"/>
        <color theme="1"/>
        <rFont val="Calibri"/>
        <family val="2"/>
        <scheme val="minor"/>
      </rPr>
      <t xml:space="preserve">he establishment did not perform all required tests.    </t>
    </r>
  </si>
  <si>
    <r>
      <t>For organ or islet cell donors, t</t>
    </r>
    <r>
      <rPr>
        <sz val="11"/>
        <color theme="1"/>
        <rFont val="Calibri"/>
        <family val="2"/>
        <scheme val="minor"/>
      </rPr>
      <t xml:space="preserve">he establishment did not correctly interpret the results of the infectious disease tests. </t>
    </r>
  </si>
  <si>
    <r>
      <t>For organ or islet cell donors, t</t>
    </r>
    <r>
      <rPr>
        <sz val="11"/>
        <color theme="1"/>
        <rFont val="Calibri"/>
        <family val="2"/>
        <scheme val="minor"/>
      </rPr>
      <t xml:space="preserve">he establishment did not assess donors for all factors that could or would exclude them from donating. </t>
    </r>
  </si>
  <si>
    <r>
      <t xml:space="preserve">For lymphohematopoietic cells, the establishment did not collect </t>
    </r>
    <r>
      <rPr>
        <sz val="11"/>
        <color rgb="FF000000"/>
        <rFont val="Calibri"/>
        <family val="2"/>
        <scheme val="minor"/>
      </rPr>
      <t>all required history and information on the donors.</t>
    </r>
  </si>
  <si>
    <r>
      <t>6 – Registration</t>
    </r>
    <r>
      <rPr>
        <sz val="11"/>
        <color theme="1"/>
        <rFont val="Calibri"/>
        <family val="2"/>
        <scheme val="minor"/>
      </rPr>
      <t xml:space="preserve"> </t>
    </r>
  </si>
  <si>
    <r>
      <rPr>
        <sz val="11"/>
        <color theme="1"/>
        <rFont val="Calibri"/>
        <family val="2"/>
        <scheme val="minor"/>
      </rPr>
      <t>For lymphohematopoietic cells, the</t>
    </r>
    <r>
      <rPr>
        <sz val="11"/>
        <color rgb="FF000000"/>
        <rFont val="Calibri"/>
        <family val="2"/>
        <scheme val="minor"/>
      </rPr>
      <t xml:space="preserve"> physical exam of the donors was not recent and relevant. </t>
    </r>
  </si>
  <si>
    <t>The establishment did not keep records showing that standard operating procedures had been implemented.</t>
  </si>
  <si>
    <t>The establishment did not perform the required physical exam on the donors.</t>
  </si>
  <si>
    <t xml:space="preserve"> </t>
  </si>
  <si>
    <t>For tissue donors, the establishment did not assess donors for all factors that could or would exclude them from donating.</t>
  </si>
  <si>
    <r>
      <t xml:space="preserve">The rating is the result of observations made by Health Canada based on a reasonable belief at a particular point in time during the course of an inspection that the establishment was conducting the regulated activities in compliance with the </t>
    </r>
    <r>
      <rPr>
        <i/>
        <sz val="11"/>
        <color theme="1"/>
        <rFont val="Calibri"/>
        <family val="2"/>
        <scheme val="minor"/>
      </rPr>
      <t>Food and Drug's Act</t>
    </r>
    <r>
      <rPr>
        <sz val="11"/>
        <color theme="1"/>
        <rFont val="Calibri"/>
        <family val="2"/>
        <scheme val="minor"/>
      </rPr>
      <t xml:space="preserve"> and </t>
    </r>
    <r>
      <rPr>
        <i/>
        <sz val="11"/>
        <color theme="1"/>
        <rFont val="Calibri"/>
        <family val="2"/>
        <scheme val="minor"/>
      </rPr>
      <t>Safety of Human Cells, Tissues and Organs for Transplantation Regulations</t>
    </r>
    <r>
      <rPr>
        <sz val="11"/>
        <color theme="1"/>
        <rFont val="Calibri"/>
        <family val="2"/>
        <scheme val="minor"/>
      </rPr>
      <t>.</t>
    </r>
  </si>
  <si>
    <r>
      <t xml:space="preserve">The rating is the result of observations made by Health Canada based on a reasonable belief at a particular point in time during the course of an inspection that the establishment was not conducting the regulated activities in compliance with the </t>
    </r>
    <r>
      <rPr>
        <i/>
        <sz val="11"/>
        <color theme="1"/>
        <rFont val="Calibri"/>
        <family val="2"/>
        <scheme val="minor"/>
      </rPr>
      <t>Food and Drug's Act</t>
    </r>
    <r>
      <rPr>
        <sz val="11"/>
        <color theme="1"/>
        <rFont val="Calibri"/>
        <family val="2"/>
        <scheme val="minor"/>
      </rPr>
      <t xml:space="preserve"> and the </t>
    </r>
    <r>
      <rPr>
        <i/>
        <sz val="11"/>
        <color theme="1"/>
        <rFont val="Calibri"/>
        <family val="2"/>
        <scheme val="minor"/>
      </rPr>
      <t>Safety of Human Cells, Tissues and Organs for Transplantation Regulations</t>
    </r>
    <r>
      <rPr>
        <sz val="11"/>
        <color theme="1"/>
        <rFont val="Calibri"/>
        <family val="2"/>
        <scheme val="minor"/>
      </rPr>
      <t>.</t>
    </r>
  </si>
  <si>
    <t>The establishment transplanted cells, tissues or organs that were not processed by a registered establishment.</t>
  </si>
  <si>
    <t>The establishment used test kits for transmissible diseases that were not licensed.</t>
  </si>
  <si>
    <t>The labels did not include all of the required information.</t>
  </si>
  <si>
    <t>The establishment did not adhere to the maximum storage periods for cells, tissues or organ adjunct vessels.</t>
  </si>
  <si>
    <t>The establishment did not provide source establishments with information relevant to investigations.</t>
  </si>
  <si>
    <t>The source establishment did not keep all required records for the cells, tissues and organs it processed.</t>
  </si>
  <si>
    <t>The establishment did not review their standard operating procedures every two years.</t>
  </si>
  <si>
    <t>Deficiencies were noted in the actions taken when errors or accidents occurred.</t>
  </si>
  <si>
    <t>Deficiencies were noted in personnel qualifications or training.</t>
  </si>
  <si>
    <t>Des lacunes ont été notées concernant les activités interdites indiquées dans le Règlement sur la sécurité des cellules, tissus et organes humains destinés à la transplantation.</t>
  </si>
  <si>
    <t>Des lacunes ont été notées concernant le traitement général des cellules, des tissus ou des organes.</t>
  </si>
  <si>
    <t>The establishment did not assess donors for all factors that could or would exclude them from donating.</t>
  </si>
  <si>
    <t>The establishment did not accurately calculate the plasma dilutions.</t>
  </si>
  <si>
    <t>For imported lymphohematopoietic cells, the establishment used test kits for transmissible diseases that were not licensed.</t>
  </si>
  <si>
    <t>For imported lymphohematopoietic cells, the establishment did not have complete documentation of the donor suitability assessment.</t>
  </si>
  <si>
    <t>The completed donor questionnaires were not recent and relevant.</t>
  </si>
  <si>
    <t>For organ or islet cell donors, the establishment did not perform all required tests.</t>
  </si>
  <si>
    <t>Deficiencies were noted with equipment or supplies used in processing or storage activities.</t>
  </si>
  <si>
    <r>
      <t xml:space="preserve">Les cotes découlent d'observations faites par Santé Canada à un moment précis d'une inspection et qui donnent un motif raisonnable de croire que l'établissement effectuait les activités réglementées conformément à </t>
    </r>
    <r>
      <rPr>
        <i/>
        <sz val="11"/>
        <color theme="1"/>
        <rFont val="Calibri"/>
        <family val="2"/>
        <scheme val="minor"/>
      </rPr>
      <t>la Loi sur les aliments et drogues</t>
    </r>
    <r>
      <rPr>
        <sz val="11"/>
        <color theme="1"/>
        <rFont val="Calibri"/>
        <family val="2"/>
        <scheme val="minor"/>
      </rPr>
      <t xml:space="preserve"> et</t>
    </r>
    <r>
      <rPr>
        <i/>
        <sz val="11"/>
        <color theme="1"/>
        <rFont val="Calibri"/>
        <family val="2"/>
        <scheme val="minor"/>
      </rPr>
      <t xml:space="preserve"> le Règlement sur la sécurité des cellules, tissus et organes humains destinés à la transplantation</t>
    </r>
    <r>
      <rPr>
        <sz val="11"/>
        <color theme="1"/>
        <rFont val="Calibri"/>
        <family val="2"/>
        <scheme val="minor"/>
      </rPr>
      <t>.</t>
    </r>
  </si>
  <si>
    <t>The establishment did not quarantine tissues from living donors until the testing was complete.</t>
  </si>
  <si>
    <t>The facilities were not constructed and maintained to permit environmental and/or microbiological monitoring and control.</t>
  </si>
  <si>
    <t>For imported lymphohematopoietic cells, the establishment did not have complete documentation showing completion of all required tests on the donors.</t>
  </si>
  <si>
    <r>
      <t xml:space="preserve">Les cotes découlent d'observations faites par Santé Canada à un moment précis d'une inspection et qui donnent un motif raisonnable de croire que l'établissement n'effectuait pas une ou plusieurs activités réglementées conformément à </t>
    </r>
    <r>
      <rPr>
        <i/>
        <sz val="11"/>
        <color theme="1"/>
        <rFont val="Calibri"/>
        <family val="2"/>
        <scheme val="minor"/>
      </rPr>
      <t>la Loi sur les aliments et drogues</t>
    </r>
    <r>
      <rPr>
        <sz val="11"/>
        <color theme="1"/>
        <rFont val="Calibri"/>
        <family val="2"/>
        <scheme val="minor"/>
      </rPr>
      <t xml:space="preserve"> et </t>
    </r>
    <r>
      <rPr>
        <i/>
        <sz val="11"/>
        <color theme="1"/>
        <rFont val="Calibri"/>
        <family val="2"/>
        <scheme val="minor"/>
      </rPr>
      <t>le Règlement sur la sécurité des cellules, tissus et organes humains destinés à la transplantation</t>
    </r>
    <r>
      <rPr>
        <sz val="11"/>
        <color theme="1"/>
        <rFont val="Calibri"/>
        <family val="2"/>
        <scheme val="minor"/>
      </rPr>
      <t>.</t>
    </r>
  </si>
  <si>
    <t>The physical exam of the donors was not recent and relevant.</t>
  </si>
  <si>
    <t>The standard operating procedures were not kept up to date.</t>
  </si>
  <si>
    <t>Des lacunes ont été notées concernant l’emballage ou l’étiquetage des cellules, des tissus ou des organes.</t>
  </si>
  <si>
    <t>Deficiencies were noted with the required quarantine of cells or tissues.</t>
  </si>
  <si>
    <t>Des lacunes ont été notées concernant la mise en quarantaine requise des cellules ou des tissus.</t>
  </si>
  <si>
    <t>The establishment did not correctly interpret the results of the infectious disease tests.</t>
  </si>
  <si>
    <t>Products were seized and detained.</t>
  </si>
  <si>
    <t>For imported organs, the establishment did not have documentation to show appropriate and effective tests were used for all infectious diseases.</t>
  </si>
  <si>
    <t>For lymphohematopoietic cells, the establishment did not assess donors for all factors that could or would exclude them from donating.</t>
  </si>
  <si>
    <t>For lymphohematopoietic cells, the establishment did not perform the required physical exam on the donors.</t>
  </si>
  <si>
    <r>
      <t>For lymphohematopoietic cells, the</t>
    </r>
    <r>
      <rPr>
        <sz val="11"/>
        <color rgb="FF000000"/>
        <rFont val="Calibri"/>
        <family val="2"/>
        <scheme val="minor"/>
      </rPr>
      <t xml:space="preserve"> physical exam of the donors was not recent and relevant.</t>
    </r>
  </si>
  <si>
    <t>For ocular tissue donors, the establishment did not assess donors for all factors that could or would exclude them from donating.</t>
  </si>
  <si>
    <r>
      <t>For organ or islet cell donors, t</t>
    </r>
    <r>
      <rPr>
        <sz val="11"/>
        <color theme="1"/>
        <rFont val="Calibri"/>
        <family val="2"/>
        <scheme val="minor"/>
      </rPr>
      <t>he establishment did not perform all required tests.</t>
    </r>
  </si>
  <si>
    <t>For tissue donors, the establishment did not correctly interpret the results of the infectious disease tests.</t>
  </si>
  <si>
    <t>Cytonet GmbH &amp; Co.KG</t>
  </si>
  <si>
    <t>Dr.Blair Leavitt</t>
  </si>
  <si>
    <t>Dr.Denice Feig, Mount Sinai Hospital</t>
  </si>
  <si>
    <t>Dr.Gordon Buduhan</t>
  </si>
  <si>
    <t>Dr.Stephan Du Plessis</t>
  </si>
  <si>
    <t>The establishment did not notify Health Canada in writing within 90 days of stopping activities.</t>
  </si>
  <si>
    <t>The label or package insert information was not in English or French.</t>
  </si>
  <si>
    <t>The establishment did not appropriately segregate tissues.</t>
  </si>
  <si>
    <t>The establishment did not meet the required conditions to release under exceptional distribution.</t>
  </si>
  <si>
    <t>The establishment did not take all required steps when the safety of a cell, tissue or organ may have been compromised by errors or accidents during processing.</t>
  </si>
  <si>
    <t>The source establishment did not take all required actions when the safety of a cell, tissue or organ may have been compromised by errors or accidents during processing.</t>
  </si>
  <si>
    <t>The medical or scientific director did not approve changes to the standard operating procedures before they were implemented.</t>
  </si>
  <si>
    <t>The inspection resulted in a compliant rating.The establishment was compliant with the Safety of Human Cells, Tissues and Organs for Transplantation Regulations.</t>
  </si>
  <si>
    <t>The inspection resulted in a non-compliant rating.The establishment was not compliant with the Safety of Human Cells, Tissues and Organs for Transplantation Regulations.</t>
  </si>
  <si>
    <t>For lymphohematopoietic cells, the physical exam of the donors was not recent and relevant.</t>
  </si>
  <si>
    <t>L’établissement central n’avait pas tenu tous les dossiers nécessaires à l’égard des cellules, tissus et organes qu’il traitait.</t>
  </si>
  <si>
    <t>L'inspection a entraîné l'attribution d'une cote de conformité.L'établissement respectait le Règlement sur la sécurité des cellules, tissus et organes humains destinés à la transplantation.</t>
  </si>
  <si>
    <t>L'inspection a entraîné l'attribution d'une cote de non-conformité.L'établissement ne respectait pas le Règlement sur la sécurité des cellules, tissus et organes humains destinés à la transplantation.</t>
  </si>
  <si>
    <t>Deficiencies were noted in regards to retrieval of tissues.</t>
  </si>
  <si>
    <t>Réinspection</t>
  </si>
  <si>
    <t>Réévaluation</t>
  </si>
  <si>
    <t>Le contenu des dossiers de l’établissement n’était pas exact, complet, lisible et/ou indélébile.</t>
  </si>
  <si>
    <t>L’établissement n’avait pas fourni aux établissements centraux et/ou aux établissements où se faisait la transplantation tous les renseignements requis permettant de compléter leurs dossiers.</t>
  </si>
  <si>
    <t>Les dossiers de l’établissement ne permettaient pas de déterminer l’établissement duquel provenaient les cellules, les tissus ou les organes.</t>
  </si>
  <si>
    <t>Les dossiers de l’établissement ne permettaient pas de déterminer l’établissement auquel il avait distribué les cellules, les tissus ou les organes.</t>
  </si>
  <si>
    <t>L’établissement avait entreposé ses dossiers dans des lieux où les conditions ambiantes et matérielles étaient appropriées.</t>
  </si>
  <si>
    <t>L’établissement n’avait pas conservé les solutions, les réactifs ou tout autre produit dans des conditions ambiantes et matérielles appropriées.</t>
  </si>
  <si>
    <t>The establishment's system for the orientation, training, and competency evaluation of staff was not sufficient.</t>
  </si>
  <si>
    <t>The facilities were not constructed and maintained to permit efficient cleaning, maintenance and disinfection.</t>
  </si>
  <si>
    <t>Des lacunes ont été notées concernant les enquêtes et les rapports d’accidents, de manquements ou d’effets indésirables.</t>
  </si>
  <si>
    <t>Importation, Distribution, Storage</t>
  </si>
  <si>
    <t>Importation, Distribution, Conservation</t>
  </si>
  <si>
    <t>Aucune lacune n’a été notée.</t>
  </si>
  <si>
    <t>AB</t>
  </si>
  <si>
    <t>BC</t>
  </si>
  <si>
    <t>MB</t>
  </si>
  <si>
    <t>NB</t>
  </si>
  <si>
    <t>NL</t>
  </si>
  <si>
    <t>NS</t>
  </si>
  <si>
    <t>ON</t>
  </si>
  <si>
    <t>PE</t>
  </si>
  <si>
    <t>QC</t>
  </si>
  <si>
    <t>SK</t>
  </si>
  <si>
    <t>Y</t>
  </si>
  <si>
    <t>N</t>
  </si>
  <si>
    <t>We requested corrective actions and may conduct a re-assessment.</t>
  </si>
  <si>
    <t>Nous avons demandé des mesures correctives et il se peut que nous fassions une réévaluation.</t>
  </si>
  <si>
    <t>We requested corrective actions and may conduct a re-inspection.</t>
  </si>
  <si>
    <t>Nous avons demandé des mesures correctives et il se peut que nous fassions une réinspection.</t>
  </si>
  <si>
    <t>Inspection in progress</t>
  </si>
  <si>
    <t>The establishment did not have complete documentation of the donor suitability assessment.</t>
  </si>
  <si>
    <t>L’établissement ne disposait pas de la documentation complète concernant l’évaluation de l’admissibilité des donneurs.</t>
  </si>
  <si>
    <t>The establishment's record were not always accurate, complete, legible and/or indelible.</t>
  </si>
  <si>
    <t>Le contenu des dossiers de l’établissement n’était pas toujours exact, complet, lisible et/ou indélébile.</t>
  </si>
  <si>
    <t>The medical or scientific director did not approve some of the changes to the standard operating procedures before they were implemented.</t>
  </si>
  <si>
    <t>The medical or scientific director did not approve all the standard operating procedures.</t>
  </si>
  <si>
    <t>Le directeur médical ou scientifique n’avait pas approuvé certains des changements apportés aux procédures d’opération normalisées avant leur mise en application.</t>
  </si>
  <si>
    <t>Le directeur médical ou scientifique n’avait pas approuvé certaines des procédures d’opération normalisées.</t>
  </si>
  <si>
    <t>Alberta Health Services - Living Donor Services (Renal)</t>
  </si>
  <si>
    <t>T6G 2J3</t>
  </si>
  <si>
    <t>Rm. 9423, 11402 University Ave.</t>
  </si>
  <si>
    <t>Edmonton</t>
  </si>
  <si>
    <t>Canada</t>
  </si>
  <si>
    <t>FD6FDCC7</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</si>
</sst>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yyyy/mm/dd;@"/>
  </numFmts>
  <fonts count="27" x14ac:knownFonts="1">
    <font>
      <sz val="11"/>
      <color theme="1"/>
      <name val="Calibri"/>
      <family val="2"/>
      <scheme val="minor"/>
    </font>
    <font>
      <sz val="10"/>
      <color theme="1"/>
      <name val="Arial"/>
      <family val="2"/>
    </font>
    <font>
      <sz val="10"/>
      <color theme="1"/>
      <name val="Verdana"/>
      <family val="2"/>
    </font>
    <font>
      <sz val="10"/>
      <name val="Arial"/>
      <family val="2"/>
    </font>
    <font>
      <b/>
      <sz val="11"/>
      <color theme="1"/>
      <name val="Calibri"/>
      <family val="2"/>
      <scheme val="minor"/>
    </font>
    <font>
      <sz val="12"/>
      <color theme="1"/>
      <name val="Calibri"/>
      <family val="2"/>
      <scheme val="minor"/>
    </font>
    <font>
      <sz val="12"/>
      <name val="Calibri"/>
      <family val="2"/>
      <scheme val="minor"/>
    </font>
    <font>
      <sz val="12"/>
      <color theme="1"/>
      <name val="Times New Roman"/>
      <family val="1"/>
    </font>
    <font>
      <sz val="11"/>
      <color rgb="FF000000"/>
      <name val="Calibri"/>
      <family val="2"/>
      <scheme val="minor"/>
    </font>
    <font>
      <sz val="11"/>
      <color theme="1"/>
      <name val="Calibri"/>
      <family val="2"/>
    </font>
    <font>
      <b/>
      <sz val="11"/>
      <color theme="1"/>
      <name val="Calibri"/>
      <family val="2"/>
    </font>
    <font>
      <sz val="11"/>
      <color rgb="FF000000"/>
      <name val="Calibri"/>
      <family val="2"/>
    </font>
    <font>
      <sz val="12"/>
      <color theme="1"/>
      <name val="Calibri"/>
      <family val="2"/>
    </font>
    <font>
      <b/>
      <sz val="12"/>
      <color rgb="FFFF0000"/>
      <name val="Calibri"/>
      <family val="2"/>
      <scheme val="minor"/>
    </font>
    <font>
      <b/>
      <i/>
      <sz val="11"/>
      <color theme="1"/>
      <name val="Calibri"/>
      <family val="2"/>
      <scheme val="minor"/>
    </font>
    <font>
      <sz val="11"/>
      <color rgb="FF7030A0"/>
      <name val="Calibri"/>
      <family val="2"/>
      <scheme val="minor"/>
    </font>
    <font>
      <u/>
      <sz val="11"/>
      <color rgb="FF008080"/>
      <name val="Calibri"/>
      <family val="2"/>
      <scheme val="minor"/>
    </font>
    <font>
      <strike/>
      <u/>
      <sz val="11"/>
      <color rgb="FFFF0000"/>
      <name val="Calibri"/>
      <family val="2"/>
      <scheme val="minor"/>
    </font>
    <font>
      <b/>
      <sz val="12"/>
      <color rgb="FF000000"/>
      <name val="Calibri"/>
      <family val="2"/>
    </font>
    <font>
      <b/>
      <sz val="12"/>
      <color theme="1"/>
      <name val="Calibri"/>
      <family val="2"/>
    </font>
    <font>
      <i/>
      <sz val="12"/>
      <color theme="1"/>
      <name val="Calibri"/>
      <family val="2"/>
    </font>
    <font>
      <i/>
      <sz val="12"/>
      <color theme="1"/>
      <name val="Calibri"/>
      <family val="2"/>
      <scheme val="minor"/>
    </font>
    <font>
      <sz val="10"/>
      <color rgb="FF000000"/>
      <name val="Arial"/>
      <family val="2"/>
    </font>
    <font>
      <u/>
      <sz val="10"/>
      <color rgb="FF008080"/>
      <name val="Arial"/>
      <family val="2"/>
    </font>
    <font>
      <b/>
      <sz val="11"/>
      <color rgb="FFFF0000"/>
      <name val="Calibri"/>
      <family val="2"/>
      <scheme val="minor"/>
    </font>
    <font>
      <i/>
      <sz val="11"/>
      <color theme="1"/>
      <name val="Calibri"/>
      <family val="2"/>
      <scheme val="minor"/>
    </font>
    <font>
      <b/>
      <sz val="10"/>
      <color rgb="FFFF0000"/>
      <name val="Arial"/>
      <family val="2"/>
    </font>
  </fonts>
  <fills count="6">
    <fill>
      <patternFill patternType="none"/>
    </fill>
    <fill>
      <patternFill patternType="gray125"/>
    </fill>
    <fill>
      <patternFill patternType="solid">
        <fgColor theme="8" tint="0.39997558519241921"/>
        <bgColor indexed="64"/>
      </patternFill>
    </fill>
    <fill>
      <patternFill patternType="solid">
        <fgColor rgb="FF00B0F0"/>
        <bgColor indexed="64"/>
      </patternFill>
    </fill>
    <fill>
      <patternFill patternType="solid">
        <fgColor rgb="FFC6D9F1"/>
        <bgColor indexed="64"/>
      </patternFill>
    </fill>
    <fill>
      <patternFill patternType="solid">
        <fgColor theme="6"/>
        <bgColor indexed="64"/>
      </patternFill>
    </fill>
  </fills>
  <borders count="13">
    <border>
      <left/>
      <right/>
      <top/>
      <bottom/>
      <diagonal/>
    </border>
    <border>
      <left style="thin">
        <color theme="8" tint="-0.249977111117893"/>
      </left>
      <right style="thin">
        <color theme="8" tint="-0.249977111117893"/>
      </right>
      <top style="thin">
        <color theme="8" tint="-0.249977111117893"/>
      </top>
      <bottom/>
      <diagonal/>
    </border>
    <border>
      <left/>
      <right style="thin">
        <color theme="8" tint="-0.249977111117893"/>
      </right>
      <top style="thin">
        <color theme="8" tint="-0.249977111117893"/>
      </top>
      <bottom/>
      <diagonal/>
    </border>
    <border>
      <left/>
      <right style="thin">
        <color theme="8" tint="-0.249977111117893"/>
      </right>
      <top/>
      <bottom/>
      <diagonal/>
    </border>
    <border>
      <left style="thin">
        <color theme="8" tint="-0.249977111117893"/>
      </left>
      <right style="thin">
        <color theme="8" tint="-0.249977111117893"/>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s>
  <cellStyleXfs count="4">
    <xf numFmtId="0" fontId="0" fillId="0" borderId="0"/>
    <xf numFmtId="0" fontId="3" fillId="0" borderId="0"/>
    <xf numFmtId="0" fontId="3" fillId="0" borderId="0"/>
    <xf numFmtId="0" fontId="3" fillId="0" borderId="0"/>
  </cellStyleXfs>
  <cellXfs count="101">
    <xf numFmtId="0" fontId="0" fillId="0" borderId="0" xfId="0"/>
    <xf numFmtId="0" fontId="7" fillId="2" borderId="0" xfId="0" applyFont="1" applyFill="1" applyBorder="1" applyAlignment="1" applyProtection="1">
      <alignment vertical="center" wrapText="1"/>
    </xf>
    <xf numFmtId="0" fontId="5" fillId="0" borderId="0" xfId="0" applyNumberFormat="1" applyFont="1" applyFill="1" applyBorder="1" applyAlignment="1" applyProtection="1">
      <alignment horizontal="left" vertical="top" wrapText="1"/>
    </xf>
    <xf numFmtId="0" fontId="5" fillId="0" borderId="0" xfId="0" applyFont="1" applyBorder="1" applyAlignment="1" applyProtection="1">
      <alignment vertical="center" wrapText="1"/>
    </xf>
    <xf numFmtId="0" fontId="5" fillId="0" borderId="0" xfId="0" applyFont="1" applyFill="1" applyBorder="1" applyAlignment="1" applyProtection="1">
      <alignment horizontal="left" vertical="top" wrapText="1"/>
    </xf>
    <xf numFmtId="0" fontId="6" fillId="0" borderId="0" xfId="0" applyFont="1" applyBorder="1" applyAlignment="1" applyProtection="1">
      <alignment horizontal="left" vertical="top" wrapText="1"/>
    </xf>
    <xf numFmtId="0" fontId="5" fillId="0" borderId="0" xfId="0" applyFont="1" applyBorder="1" applyAlignment="1" applyProtection="1">
      <alignment horizontal="left" vertical="top" wrapText="1"/>
    </xf>
    <xf numFmtId="0" fontId="6" fillId="0" borderId="0" xfId="0" applyFont="1" applyFill="1" applyBorder="1" applyAlignment="1" applyProtection="1">
      <alignment horizontal="left" vertical="top" wrapText="1"/>
    </xf>
    <xf numFmtId="0" fontId="6" fillId="0" borderId="0" xfId="1" applyFont="1" applyFill="1" applyBorder="1" applyAlignment="1" applyProtection="1">
      <alignment horizontal="left" vertical="top" wrapText="1"/>
    </xf>
    <xf numFmtId="1" fontId="6" fillId="0" borderId="0" xfId="1" applyNumberFormat="1" applyFont="1" applyFill="1" applyBorder="1" applyAlignment="1" applyProtection="1">
      <alignment horizontal="left" vertical="top" wrapText="1"/>
    </xf>
    <xf numFmtId="0" fontId="6" fillId="0" borderId="0" xfId="3" applyFont="1" applyFill="1" applyBorder="1" applyAlignment="1" applyProtection="1">
      <alignment horizontal="left" vertical="top" wrapText="1"/>
    </xf>
    <xf numFmtId="49" fontId="5" fillId="0" borderId="0" xfId="0" applyNumberFormat="1" applyFont="1" applyFill="1" applyBorder="1" applyAlignment="1" applyProtection="1">
      <alignment horizontal="left" vertical="top" wrapText="1"/>
    </xf>
    <xf numFmtId="0" fontId="5" fillId="0" borderId="0" xfId="0" applyNumberFormat="1" applyFont="1" applyBorder="1" applyAlignment="1" applyProtection="1">
      <alignment horizontal="left" vertical="top" wrapText="1"/>
    </xf>
    <xf numFmtId="0" fontId="4" fillId="0" borderId="0" xfId="0" applyFont="1"/>
    <xf numFmtId="0" fontId="4" fillId="0" borderId="8" xfId="0" applyFont="1" applyBorder="1" applyAlignment="1">
      <alignment vertical="center" wrapText="1"/>
    </xf>
    <xf numFmtId="0" fontId="9" fillId="0" borderId="6" xfId="0" applyFont="1" applyBorder="1" applyAlignment="1">
      <alignment vertical="center" wrapText="1"/>
    </xf>
    <xf numFmtId="0" fontId="10" fillId="0" borderId="8" xfId="0" applyFont="1" applyBorder="1" applyAlignment="1">
      <alignment vertical="center" wrapText="1"/>
    </xf>
    <xf numFmtId="0" fontId="8" fillId="0" borderId="6" xfId="0" applyFont="1" applyBorder="1" applyAlignment="1">
      <alignment vertical="center" wrapText="1"/>
    </xf>
    <xf numFmtId="0" fontId="4" fillId="0" borderId="6" xfId="0" applyFont="1" applyBorder="1" applyAlignment="1">
      <alignment vertical="center" wrapText="1"/>
    </xf>
    <xf numFmtId="0" fontId="4" fillId="0" borderId="0" xfId="0" applyFont="1" applyBorder="1" applyAlignment="1">
      <alignment vertical="center" wrapText="1"/>
    </xf>
    <xf numFmtId="0" fontId="0" fillId="0" borderId="10" xfId="0" applyBorder="1" applyAlignment="1">
      <alignment vertical="center" wrapText="1"/>
    </xf>
    <xf numFmtId="0" fontId="0" fillId="0" borderId="6" xfId="0" applyBorder="1" applyAlignment="1">
      <alignment vertical="center" wrapText="1"/>
    </xf>
    <xf numFmtId="0" fontId="13" fillId="4" borderId="8"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0" fillId="0" borderId="7" xfId="0" applyBorder="1" applyAlignment="1">
      <alignment vertical="center" wrapText="1"/>
    </xf>
    <xf numFmtId="0" fontId="4" fillId="0" borderId="7" xfId="0" applyFont="1" applyBorder="1" applyAlignment="1">
      <alignment vertical="center" wrapText="1"/>
    </xf>
    <xf numFmtId="0" fontId="10" fillId="0" borderId="6" xfId="0" applyFont="1" applyBorder="1" applyAlignment="1">
      <alignment vertical="center" wrapText="1"/>
    </xf>
    <xf numFmtId="0" fontId="0" fillId="0" borderId="12" xfId="0" applyBorder="1" applyAlignment="1">
      <alignment vertical="center" wrapText="1"/>
    </xf>
    <xf numFmtId="0" fontId="8" fillId="0" borderId="10" xfId="0" applyFont="1" applyBorder="1" applyAlignment="1">
      <alignment vertical="center" wrapText="1"/>
    </xf>
    <xf numFmtId="0" fontId="8" fillId="0" borderId="9" xfId="0" applyFont="1" applyBorder="1" applyAlignment="1">
      <alignment vertical="center" wrapText="1"/>
    </xf>
    <xf numFmtId="0" fontId="2" fillId="0" borderId="0" xfId="0" applyFont="1" applyAlignment="1" applyProtection="1">
      <alignment wrapText="1"/>
    </xf>
    <xf numFmtId="0" fontId="5" fillId="0" borderId="0" xfId="0" applyFont="1" applyAlignment="1" applyProtection="1">
      <alignment horizontal="left" vertical="top" wrapText="1"/>
    </xf>
    <xf numFmtId="0" fontId="0" fillId="0" borderId="0" xfId="0" applyFont="1" applyAlignment="1">
      <alignment wrapText="1"/>
    </xf>
    <xf numFmtId="0" fontId="0" fillId="0" borderId="0" xfId="0" applyAlignment="1" applyProtection="1">
      <alignment wrapText="1"/>
    </xf>
    <xf numFmtId="0" fontId="5" fillId="0" borderId="0" xfId="0" applyFont="1" applyAlignment="1" applyProtection="1">
      <alignment wrapText="1"/>
    </xf>
    <xf numFmtId="0" fontId="0" fillId="0" borderId="0" xfId="0" applyAlignment="1">
      <alignment wrapText="1"/>
    </xf>
    <xf numFmtId="0" fontId="0" fillId="0" borderId="0" xfId="0" applyFont="1" applyAlignment="1" applyProtection="1">
      <alignment wrapText="1"/>
    </xf>
    <xf numFmtId="0" fontId="5" fillId="2" borderId="1" xfId="0" applyFont="1" applyFill="1" applyBorder="1" applyAlignment="1" applyProtection="1">
      <alignment horizontal="left" vertical="top" wrapText="1"/>
    </xf>
    <xf numFmtId="0" fontId="5" fillId="2" borderId="4" xfId="0" applyFont="1" applyFill="1" applyBorder="1" applyAlignment="1" applyProtection="1">
      <alignment horizontal="left" vertical="top" wrapText="1"/>
    </xf>
    <xf numFmtId="0" fontId="5" fillId="2" borderId="0" xfId="0" applyFont="1" applyFill="1" applyBorder="1" applyAlignment="1" applyProtection="1">
      <alignment horizontal="left" vertical="top" wrapText="1"/>
    </xf>
    <xf numFmtId="0" fontId="5" fillId="2" borderId="3" xfId="0" applyFont="1" applyFill="1" applyBorder="1" applyAlignment="1" applyProtection="1">
      <alignment horizontal="left" vertical="top" wrapText="1"/>
    </xf>
    <xf numFmtId="0" fontId="5" fillId="2" borderId="2" xfId="0" applyFont="1" applyFill="1" applyBorder="1" applyAlignment="1" applyProtection="1">
      <alignment horizontal="left" vertical="top" wrapText="1"/>
    </xf>
    <xf numFmtId="0" fontId="18" fillId="0" borderId="6" xfId="0" applyFont="1" applyBorder="1" applyAlignment="1">
      <alignment vertical="center" wrapText="1"/>
    </xf>
    <xf numFmtId="0" fontId="19" fillId="0" borderId="7" xfId="0" applyFont="1" applyBorder="1" applyAlignment="1">
      <alignment vertical="center" wrapText="1"/>
    </xf>
    <xf numFmtId="0" fontId="12" fillId="0" borderId="6" xfId="0" applyFont="1" applyBorder="1" applyAlignment="1">
      <alignment vertical="center" wrapText="1"/>
    </xf>
    <xf numFmtId="0" fontId="12" fillId="0" borderId="7" xfId="0" applyFont="1" applyBorder="1" applyAlignment="1">
      <alignment vertical="center" wrapText="1"/>
    </xf>
    <xf numFmtId="0" fontId="19" fillId="0" borderId="6" xfId="0" applyFont="1" applyBorder="1" applyAlignment="1">
      <alignment vertical="center" wrapText="1"/>
    </xf>
    <xf numFmtId="0" fontId="12" fillId="0" borderId="10" xfId="0" applyFont="1" applyBorder="1" applyAlignment="1">
      <alignment vertical="center" wrapText="1"/>
    </xf>
    <xf numFmtId="0" fontId="6" fillId="0" borderId="0" xfId="0" applyFont="1" applyFill="1" applyBorder="1" applyAlignment="1">
      <alignment horizontal="left" vertical="top" wrapText="1"/>
    </xf>
    <xf numFmtId="0" fontId="5" fillId="2" borderId="2" xfId="0" applyFont="1" applyFill="1" applyBorder="1" applyAlignment="1">
      <alignment horizontal="left" vertical="top" wrapText="1"/>
    </xf>
    <xf numFmtId="0" fontId="5" fillId="2" borderId="1" xfId="0" applyFont="1" applyFill="1" applyBorder="1" applyAlignment="1">
      <alignment horizontal="left" vertical="top" wrapText="1"/>
    </xf>
    <xf numFmtId="0" fontId="5" fillId="0" borderId="0" xfId="0" applyFont="1" applyAlignment="1">
      <alignment horizontal="left" vertical="top" wrapText="1"/>
    </xf>
    <xf numFmtId="0" fontId="4" fillId="3" borderId="5" xfId="0" applyNumberFormat="1" applyFont="1" applyFill="1" applyBorder="1" applyAlignment="1" applyProtection="1">
      <alignment horizontal="center" wrapText="1"/>
    </xf>
    <xf numFmtId="0" fontId="0" fillId="0" borderId="0" xfId="0" applyNumberFormat="1" applyAlignment="1" applyProtection="1">
      <alignment wrapText="1"/>
    </xf>
    <xf numFmtId="0" fontId="0" fillId="0" borderId="0" xfId="0" applyAlignment="1" applyProtection="1">
      <alignment wrapText="1"/>
      <protection locked="0"/>
    </xf>
    <xf numFmtId="165" fontId="0" fillId="0" borderId="0" xfId="0" applyNumberFormat="1" applyAlignment="1" applyProtection="1">
      <alignment wrapText="1"/>
      <protection locked="0"/>
    </xf>
    <xf numFmtId="0" fontId="4" fillId="5" borderId="5" xfId="0" applyNumberFormat="1" applyFont="1" applyFill="1" applyBorder="1" applyAlignment="1" applyProtection="1">
      <alignment horizontal="center" wrapText="1"/>
    </xf>
    <xf numFmtId="0" fontId="0" fillId="0" borderId="0" xfId="0" applyNumberFormat="1" applyAlignment="1" applyProtection="1">
      <alignment horizontal="center" wrapText="1"/>
    </xf>
    <xf numFmtId="0" fontId="0" fillId="0" borderId="0" xfId="0" applyAlignment="1" applyProtection="1">
      <alignment horizontal="center" wrapText="1" shrinkToFit="1"/>
    </xf>
    <xf numFmtId="14" fontId="0" fillId="0" borderId="0" xfId="0" applyNumberFormat="1" applyAlignment="1" applyProtection="1">
      <alignment horizontal="center" wrapText="1" shrinkToFit="1"/>
    </xf>
    <xf numFmtId="0" fontId="0" fillId="0" borderId="0" xfId="0" applyAlignment="1" applyProtection="1">
      <alignment horizontal="center" wrapText="1" shrinkToFit="1"/>
      <protection locked="0"/>
    </xf>
    <xf numFmtId="0" fontId="0" fillId="0" borderId="0" xfId="0" applyAlignment="1" applyProtection="1">
      <alignment horizontal="center" wrapText="1"/>
      <protection locked="0"/>
    </xf>
    <xf numFmtId="0" fontId="0" fillId="0" borderId="0" xfId="0" applyAlignment="1" applyProtection="1">
      <alignment horizontal="center" wrapText="1"/>
    </xf>
    <xf numFmtId="14" fontId="0" fillId="0" borderId="0" xfId="0" applyNumberFormat="1" applyAlignment="1" applyProtection="1">
      <alignment horizontal="center" wrapText="1"/>
    </xf>
    <xf numFmtId="164" fontId="0" fillId="0" borderId="0" xfId="0" applyNumberFormat="1" applyAlignment="1" applyProtection="1">
      <alignment horizontal="center" wrapText="1"/>
      <protection locked="0"/>
    </xf>
    <xf numFmtId="0" fontId="0" fillId="0" borderId="0" xfId="0" applyAlignment="1" applyProtection="1">
      <alignment horizontal="left" wrapText="1" shrinkToFit="1"/>
    </xf>
    <xf numFmtId="0" fontId="0" fillId="0" borderId="0" xfId="0" applyAlignment="1" applyProtection="1">
      <alignment horizontal="left" wrapText="1" shrinkToFit="1"/>
      <protection locked="0"/>
    </xf>
    <xf numFmtId="0" fontId="0" fillId="0" borderId="0" xfId="0" applyAlignment="1">
      <alignment horizontal="left" vertical="top"/>
    </xf>
    <xf numFmtId="0" fontId="8" fillId="0" borderId="6"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0" fillId="0" borderId="6" xfId="0" applyFont="1" applyBorder="1" applyAlignment="1">
      <alignment horizontal="left" vertical="top" wrapText="1"/>
    </xf>
    <xf numFmtId="0" fontId="0" fillId="0" borderId="7" xfId="0" applyFont="1" applyBorder="1" applyAlignment="1">
      <alignment horizontal="left" vertical="top" wrapText="1"/>
    </xf>
    <xf numFmtId="0" fontId="0" fillId="0" borderId="10" xfId="0" applyFont="1" applyBorder="1" applyAlignment="1">
      <alignment horizontal="left" vertical="top" wrapText="1"/>
    </xf>
    <xf numFmtId="0" fontId="0" fillId="0" borderId="0" xfId="0" applyFont="1" applyAlignment="1">
      <alignment horizontal="left" vertical="top"/>
    </xf>
    <xf numFmtId="0" fontId="24" fillId="4" borderId="8" xfId="0" applyFont="1" applyFill="1" applyBorder="1" applyAlignment="1">
      <alignment horizontal="left" vertical="top" wrapText="1"/>
    </xf>
    <xf numFmtId="0" fontId="24" fillId="4" borderId="11" xfId="0" applyFont="1" applyFill="1" applyBorder="1" applyAlignment="1">
      <alignment horizontal="left" vertical="top" wrapText="1"/>
    </xf>
    <xf numFmtId="14" fontId="4" fillId="5" borderId="5" xfId="0" applyNumberFormat="1" applyFont="1" applyFill="1" applyBorder="1" applyAlignment="1" applyProtection="1">
      <alignment horizontal="center" wrapText="1"/>
    </xf>
    <xf numFmtId="0" fontId="0" fillId="0" borderId="0" xfId="0" applyAlignment="1" applyProtection="1">
      <alignment horizontal="left" vertical="center" wrapText="1" shrinkToFit="1"/>
    </xf>
    <xf numFmtId="0" fontId="0" fillId="0" borderId="0" xfId="0" applyNumberFormat="1" applyAlignment="1" applyProtection="1">
      <alignment horizontal="left" vertical="center" wrapText="1"/>
    </xf>
    <xf numFmtId="0" fontId="0" fillId="0" borderId="0" xfId="0" applyAlignment="1" applyProtection="1">
      <alignment horizontal="left" vertical="center" wrapText="1"/>
    </xf>
    <xf numFmtId="14" fontId="0" fillId="0" borderId="0" xfId="0" applyNumberFormat="1" applyAlignment="1" applyProtection="1">
      <alignment horizontal="left" vertical="center" wrapText="1"/>
    </xf>
    <xf numFmtId="14" fontId="0" fillId="0" borderId="0" xfId="0" applyNumberFormat="1" applyAlignment="1" applyProtection="1">
      <alignment horizontal="left" vertical="center" wrapText="1" shrinkToFit="1"/>
    </xf>
    <xf numFmtId="0" fontId="0" fillId="0" borderId="0" xfId="0" applyAlignment="1" applyProtection="1">
      <alignment horizontal="left" vertical="center" wrapText="1" shrinkToFit="1"/>
      <protection locked="0"/>
    </xf>
    <xf numFmtId="0" fontId="0" fillId="0" borderId="0" xfId="0" applyAlignment="1" applyProtection="1">
      <alignment horizontal="left" vertical="center" wrapText="1"/>
      <protection locked="0"/>
    </xf>
    <xf numFmtId="0" fontId="4" fillId="3" borderId="5" xfId="0" applyNumberFormat="1" applyFont="1" applyFill="1" applyBorder="1" applyAlignment="1" applyProtection="1">
      <alignment horizontal="center" wrapText="1"/>
      <protection locked="0"/>
    </xf>
    <xf numFmtId="0" fontId="0" fillId="0" borderId="0" xfId="0" applyFill="1" applyAlignment="1" applyProtection="1">
      <alignment horizontal="left"/>
      <protection locked="0"/>
    </xf>
    <xf numFmtId="165" fontId="4" fillId="3" borderId="5" xfId="0" applyNumberFormat="1" applyFont="1" applyFill="1" applyBorder="1" applyAlignment="1" applyProtection="1">
      <alignment horizontal="center" wrapText="1"/>
      <protection locked="0"/>
    </xf>
    <xf numFmtId="0" fontId="0" fillId="0" borderId="0" xfId="0" applyAlignment="1" applyProtection="1">
      <alignment horizontal="left"/>
      <protection locked="0"/>
    </xf>
    <xf numFmtId="14" fontId="0" fillId="0" borderId="0" xfId="0" applyNumberFormat="1" applyFill="1" applyAlignment="1" applyProtection="1">
      <alignment horizontal="left"/>
      <protection locked="0"/>
    </xf>
    <xf numFmtId="0" fontId="4" fillId="5" borderId="5" xfId="0" applyNumberFormat="1" applyFont="1" applyFill="1" applyBorder="1" applyAlignment="1" applyProtection="1">
      <alignment horizontal="center" wrapText="1"/>
      <protection locked="0"/>
    </xf>
    <xf numFmtId="164" fontId="0" fillId="0" borderId="0" xfId="0" applyNumberFormat="1" applyAlignment="1" applyProtection="1">
      <alignment horizontal="left" vertical="center" wrapText="1" shrinkToFit="1"/>
      <protection locked="0"/>
    </xf>
    <xf numFmtId="164" fontId="0" fillId="0" borderId="0" xfId="0" applyNumberFormat="1" applyAlignment="1" applyProtection="1">
      <alignment horizontal="left" wrapText="1" shrinkToFit="1"/>
      <protection locked="0"/>
    </xf>
    <xf numFmtId="164" fontId="0" fillId="0" borderId="0" xfId="0" applyNumberFormat="1" applyAlignment="1" applyProtection="1">
      <alignment horizontal="center" wrapText="1" shrinkToFit="1"/>
      <protection locked="0"/>
    </xf>
    <xf numFmtId="0" fontId="0" fillId="0" borderId="0" xfId="0" applyNumberFormat="1" applyAlignment="1" applyProtection="1">
      <alignment horizontal="left" vertical="center" wrapText="1" shrinkToFit="1"/>
      <protection locked="0"/>
    </xf>
    <xf numFmtId="0" fontId="0" fillId="0" borderId="0" xfId="0" applyFont="1" applyFill="1" applyAlignment="1">
      <alignment wrapText="1"/>
    </xf>
    <xf numFmtId="164" fontId="0" fillId="0" borderId="0" xfId="0" applyNumberFormat="1" applyAlignment="1" applyProtection="1">
      <alignment horizontal="center" wrapText="1" shrinkToFit="1"/>
    </xf>
    <xf numFmtId="0" fontId="5" fillId="0" borderId="0" xfId="0" applyFont="1" applyFill="1" applyAlignment="1" applyProtection="1">
      <alignment horizontal="left" vertical="top" wrapText="1"/>
    </xf>
    <xf numFmtId="0" fontId="5" fillId="0" borderId="0" xfId="0" applyFont="1" applyFill="1" applyAlignment="1">
      <alignment horizontal="left" vertical="top" wrapText="1"/>
    </xf>
    <xf numFmtId="0" fontId="8" fillId="0" borderId="0" xfId="0" applyFont="1" applyFill="1" applyAlignment="1">
      <alignment wrapText="1"/>
    </xf>
    <xf numFmtId="0" fontId="26" fillId="0" borderId="0" xfId="0" applyFont="1"/>
  </cellXfs>
  <cellStyles count="4">
    <cellStyle name="Normal" xfId="0" builtinId="0"/>
    <cellStyle name="Normal 2" xfId="1"/>
    <cellStyle name="Normal 2 2" xfId="3"/>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13"/>
  <sheetViews>
    <sheetView workbookViewId="0">
      <selection activeCell="A2" sqref="A2"/>
    </sheetView>
  </sheetViews>
  <sheetFormatPr defaultColWidth="9.109375" defaultRowHeight="14.4" x14ac:dyDescent="0.3"/>
  <cols>
    <col min="1" max="1" width="11.33203125" style="54" customWidth="1"/>
    <col min="2" max="2" width="49.5546875" style="54" customWidth="1"/>
    <col min="3" max="3" width="13.88671875" style="54" customWidth="1"/>
    <col min="4" max="4" width="12.88671875" style="54" customWidth="1"/>
    <col min="5" max="6" width="15.6640625" style="54" customWidth="1"/>
    <col min="7" max="7" width="10.5546875" style="54" customWidth="1"/>
    <col min="8" max="8" width="13.5546875" style="55" customWidth="1"/>
    <col min="9" max="9" width="13.44140625" style="55" customWidth="1"/>
    <col min="10" max="10" width="29.33203125" style="54" bestFit="1" customWidth="1"/>
    <col min="11" max="11" width="16.5546875" style="54" customWidth="1"/>
    <col min="12" max="13" width="15.6640625" style="54" customWidth="1"/>
    <col min="14" max="14" width="12.88671875" style="54" customWidth="1"/>
    <col min="15" max="15" width="28" style="54" customWidth="1"/>
    <col min="16" max="16" width="25.88671875" style="33" customWidth="1"/>
    <col min="17" max="16384" width="9.109375" style="33"/>
  </cols>
  <sheetData>
    <row r="1" spans="1:16" s="53" customFormat="1" ht="57.6" x14ac:dyDescent="0.3">
      <c r="A1" s="85" t="s">
        <v>139</v>
      </c>
      <c r="B1" s="85" t="s">
        <v>2</v>
      </c>
      <c r="C1" s="85" t="s">
        <v>141</v>
      </c>
      <c r="D1" s="85" t="s">
        <v>142</v>
      </c>
      <c r="E1" s="85" t="s">
        <v>130</v>
      </c>
      <c r="F1" s="85" t="s">
        <v>131</v>
      </c>
      <c r="G1" s="85" t="s">
        <v>122</v>
      </c>
      <c r="H1" s="87" t="s">
        <v>1064</v>
      </c>
      <c r="I1" s="87" t="s">
        <v>1065</v>
      </c>
      <c r="J1" s="85" t="s">
        <v>125</v>
      </c>
      <c r="K1" s="85" t="s">
        <v>126</v>
      </c>
      <c r="L1" s="85" t="s">
        <v>127</v>
      </c>
      <c r="M1" s="85" t="s">
        <v>128</v>
      </c>
      <c r="N1" s="85" t="s">
        <v>129</v>
      </c>
      <c r="O1" s="85" t="s">
        <v>795</v>
      </c>
      <c r="P1" s="52" t="s">
        <v>796</v>
      </c>
    </row>
    <row r="2" spans="1:16" ht="28.8" x14ac:dyDescent="0.3">
      <c r="A2" s="100" t="s">
        <v>1238</v>
      </c>
      <c r="B2" s="86" t="s">
        <v>1233</v>
      </c>
      <c r="C2" s="88" t="s">
        <v>1218</v>
      </c>
      <c r="D2" s="86">
        <v>100054</v>
      </c>
      <c r="E2" s="54" t="s">
        <v>146</v>
      </c>
      <c r="F2" s="54" t="s">
        <v>143</v>
      </c>
      <c r="G2" s="54" t="s">
        <v>1224</v>
      </c>
      <c r="H2" s="89">
        <v>42884</v>
      </c>
      <c r="I2" s="55">
        <v>42888</v>
      </c>
      <c r="J2" s="86" t="s">
        <v>1235</v>
      </c>
      <c r="K2" s="86" t="s">
        <v>1236</v>
      </c>
      <c r="L2" s="86" t="s">
        <v>1208</v>
      </c>
      <c r="M2" s="86" t="s">
        <v>1237</v>
      </c>
      <c r="N2" s="54" t="s">
        <v>1234</v>
      </c>
      <c r="O2" s="54" t="s">
        <v>1066</v>
      </c>
      <c r="P2" s="33" t="str">
        <f>IF(ISBLANK(O2), "", Activities_French_Text)</f>
        <v>Traitement, Distribution, Conservation</v>
      </c>
    </row>
    <row r="3" spans="1:16" x14ac:dyDescent="0.3">
      <c r="P3" s="33" t="str">
        <f>IF(ISBLANK(O3), "", Activities_French_Text)</f>
        <v/>
      </c>
    </row>
    <row r="4" spans="1:16" ht="15" x14ac:dyDescent="0.25">
      <c r="P4" s="33" t="str">
        <f>IF(ISBLANK(O4), "", Activities_French_Text)</f>
        <v/>
      </c>
    </row>
    <row r="5" spans="1:16" ht="15" x14ac:dyDescent="0.25">
      <c r="P5" s="33" t="str">
        <f>IF(ISBLANK(O5), "", Activities_French_Text)</f>
        <v/>
      </c>
    </row>
    <row r="6" spans="1:16" ht="15" x14ac:dyDescent="0.25">
      <c r="P6" s="33" t="str">
        <f>IF(ISBLANK(O6), "", Activities_French_Text)</f>
        <v/>
      </c>
    </row>
    <row r="7" spans="1:16" ht="15" x14ac:dyDescent="0.25">
      <c r="P7" s="33" t="str">
        <f>IF(ISBLANK(O7), "", Activities_French_Text)</f>
        <v/>
      </c>
    </row>
    <row r="8" spans="1:16" ht="15" x14ac:dyDescent="0.25">
      <c r="P8" s="33" t="str">
        <f>IF(ISBLANK(O8), "", Activities_French_Text)</f>
        <v/>
      </c>
    </row>
    <row r="9" spans="1:16" ht="15" x14ac:dyDescent="0.25">
      <c r="P9" s="33" t="str">
        <f>IF(ISBLANK(O9), "", Activities_French_Text)</f>
        <v/>
      </c>
    </row>
    <row r="10" spans="1:16" ht="15" x14ac:dyDescent="0.25">
      <c r="P10" s="33" t="str">
        <f>IF(ISBLANK(O10), "", Activities_French_Text)</f>
        <v/>
      </c>
    </row>
    <row r="11" spans="1:16" ht="15" x14ac:dyDescent="0.25">
      <c r="P11" s="33" t="str">
        <f>IF(ISBLANK(O11), "", Activities_French_Text)</f>
        <v/>
      </c>
    </row>
    <row r="12" spans="1:16" ht="15" x14ac:dyDescent="0.25">
      <c r="P12" s="33" t="str">
        <f>IF(ISBLANK(O12), "", Activities_French_Text)</f>
        <v/>
      </c>
    </row>
    <row r="13" spans="1:16" ht="15" x14ac:dyDescent="0.25">
      <c r="P13" s="33" t="str">
        <f>IF(ISBLANK(O13), "", Activities_French_Text)</f>
        <v/>
      </c>
    </row>
  </sheetData>
  <sheetProtection password="EB8B" sheet="1" objects="1" scenarios="1" formatColumns="0"/>
  <dataValidations count="7">
    <dataValidation type="list" allowBlank="1" showInputMessage="1" showErrorMessage="1" sqref="C3:D1048576 L2">
      <formula1>Phase_of_Trial_Choices</formula1>
    </dataValidation>
    <dataValidation type="list" allowBlank="1" showInputMessage="1" showErrorMessage="1" sqref="F3:F1048576 E3:E1048576">
      <formula1>Inspection_Type_English_Choices</formula1>
    </dataValidation>
    <dataValidation type="list" allowBlank="1" showInputMessage="1" showErrorMessage="1" sqref="G2:G1048576">
      <formula1>Rating_English_Choices</formula1>
    </dataValidation>
    <dataValidation type="list" allowBlank="1" showInputMessage="1" showErrorMessage="1" sqref="O2:O33">
      <formula1>Activities_English_Choices</formula1>
    </dataValidation>
    <dataValidation type="list" allowBlank="1" showInputMessage="1" showErrorMessage="1" sqref="C2">
      <formula1>Currently_Registered</formula1>
    </dataValidation>
    <dataValidation type="list" allowBlank="1" showInputMessage="1" showErrorMessage="1" sqref="F2">
      <formula1>Inspection_Type_English_Choices</formula1>
    </dataValidation>
    <dataValidation type="list" allowBlank="1" showInputMessage="1" showErrorMessage="1" sqref="E2">
      <formula1>Inspection_Type_French_Choices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00"/>
  <sheetViews>
    <sheetView tabSelected="1" zoomScale="115" zoomScaleNormal="115" workbookViewId="0">
      <selection activeCell="K4" sqref="K4"/>
    </sheetView>
  </sheetViews>
  <sheetFormatPr defaultColWidth="9.109375" defaultRowHeight="14.4" x14ac:dyDescent="0.3"/>
  <cols>
    <col min="1" max="1" width="11.6640625" style="62" customWidth="1"/>
    <col min="2" max="2" width="14" style="62" customWidth="1"/>
    <col min="3" max="4" width="13.44140625" style="62" customWidth="1"/>
    <col min="5" max="5" width="11.44140625" style="63" customWidth="1"/>
    <col min="6" max="6" width="12.5546875" style="63" customWidth="1"/>
    <col min="7" max="7" width="14.88671875" style="64" customWidth="1"/>
    <col min="8" max="8" width="10.109375" style="64" customWidth="1"/>
    <col min="9" max="9" width="38.5546875" style="61" customWidth="1"/>
    <col min="10" max="10" width="44.6640625" style="62" customWidth="1"/>
    <col min="11" max="11" width="66.109375" style="61" customWidth="1"/>
    <col min="12" max="12" width="85.6640625" style="62" customWidth="1"/>
    <col min="13" max="16384" width="9.109375" style="61"/>
  </cols>
  <sheetData>
    <row r="1" spans="1:12" s="57" customFormat="1" ht="30" x14ac:dyDescent="0.25">
      <c r="A1" s="56" t="s">
        <v>139</v>
      </c>
      <c r="B1" s="56" t="s">
        <v>2</v>
      </c>
      <c r="C1" s="56" t="s">
        <v>130</v>
      </c>
      <c r="D1" s="56" t="s">
        <v>131</v>
      </c>
      <c r="E1" s="77" t="s">
        <v>1</v>
      </c>
      <c r="F1" s="77" t="s">
        <v>123</v>
      </c>
      <c r="G1" s="90" t="s">
        <v>135</v>
      </c>
      <c r="H1" s="90" t="s">
        <v>136</v>
      </c>
      <c r="I1" s="90" t="s">
        <v>5</v>
      </c>
      <c r="J1" s="56" t="s">
        <v>6</v>
      </c>
      <c r="K1" s="90" t="s">
        <v>124</v>
      </c>
      <c r="L1" s="56" t="s">
        <v>132</v>
      </c>
    </row>
    <row r="2" spans="1:12" s="84" customFormat="1" ht="26.25" customHeight="1" x14ac:dyDescent="0.3">
      <c r="A2" s="78" t="str">
        <f>IF(ISBLANK('CTO Inspection English'!A2), "", 'CTO Inspection English'!A2)</f>
        <v>FD6FDCC7</v>
      </c>
      <c r="B2" s="79" t="str">
        <f>IF(ISBLANK('CTO Inspection English'!B2), "", 'CTO Inspection English'!B2)</f>
        <v>Alberta Health Services - Living Donor Services (Renal)</v>
      </c>
      <c r="C2" s="80" t="str">
        <f>IF(ISBLANK('CTO Inspection English'!E2), "", 'CTO Inspection English'!E2)</f>
        <v>Inspection régulière</v>
      </c>
      <c r="D2" s="80" t="str">
        <f>IF(ISBLANK('CTO Inspection English'!F2), "", 'CTO Inspection English'!F2)</f>
        <v>Regular Inspection</v>
      </c>
      <c r="E2" s="81">
        <f>IF(ISBLANK('CTO Inspection English'!H2), "", 'CTO Inspection English'!H2)</f>
        <v>42884</v>
      </c>
      <c r="F2" s="82">
        <f>IF(ISBLANK('CTO Inspection English'!I2), "", 'CTO Inspection English'!I2)</f>
        <v>42888</v>
      </c>
      <c r="G2" s="91">
        <v>1</v>
      </c>
      <c r="H2" s="91">
        <v>1</v>
      </c>
      <c r="I2" s="83" t="s">
        <v>1053</v>
      </c>
      <c r="J2" s="78" t="str">
        <f>IF(ISBLANK(I2), "", Inspection_Regulation_French_Text)</f>
        <v xml:space="preserve">55 à 63 - Dossiers </v>
      </c>
      <c r="K2" s="94" t="s">
        <v>985</v>
      </c>
      <c r="L2" s="78" t="str">
        <f>IF(ISBLANK(K2), "", Deficiency_French_Text)</f>
        <v>Des lacunes ont été notées concernant les dossiers de l’établissement.</v>
      </c>
    </row>
    <row r="3" spans="1:12" s="84" customFormat="1" ht="57.6" x14ac:dyDescent="0.3">
      <c r="A3" s="78" t="str">
        <f>IF(ISBLANK(G3), "",A2)</f>
        <v>FD6FDCC7</v>
      </c>
      <c r="B3" s="79" t="str">
        <f>IF(ISBLANK(G3), "", B2)</f>
        <v>Alberta Health Services - Living Donor Services (Renal)</v>
      </c>
      <c r="C3" s="80" t="str">
        <f>IF(ISBLANK(G3), "", C2)</f>
        <v>Inspection régulière</v>
      </c>
      <c r="D3" s="80" t="str">
        <f>IF(ISBLANK(G3), "", D2)</f>
        <v>Regular Inspection</v>
      </c>
      <c r="E3" s="81">
        <f>IF(ISBLANK(G3), "", E2)</f>
        <v>42884</v>
      </c>
      <c r="F3" s="82">
        <f>IF(ISBLANK(G3), "", F2)</f>
        <v>42888</v>
      </c>
      <c r="G3" s="91">
        <v>2</v>
      </c>
      <c r="H3" s="91">
        <v>1</v>
      </c>
      <c r="I3" s="83" t="s">
        <v>1049</v>
      </c>
      <c r="J3" s="78" t="str">
        <f>IF(ISBLANK(I3), "", Inspection_Regulation_French_Text)</f>
        <v xml:space="preserve">70 à 76 - Système d’assurance de la qualité </v>
      </c>
      <c r="K3" s="94" t="s">
        <v>999</v>
      </c>
      <c r="L3" s="78" t="str">
        <f>IF(ISBLANK(K3), "", Deficiency_French_Text)</f>
        <v>Des lacunes ont été notées concernant les procédures d’opération normalisées ou les vérifications.</v>
      </c>
    </row>
    <row r="4" spans="1:12" s="84" customFormat="1" ht="15" x14ac:dyDescent="0.25">
      <c r="A4" s="78" t="str">
        <f t="shared" ref="A4:A41" si="0">IF(ISBLANK(G4), "",A3)</f>
        <v/>
      </c>
      <c r="B4" s="79" t="str">
        <f t="shared" ref="B4:B67" si="1">IF(ISBLANK(G4), "", B3)</f>
        <v/>
      </c>
      <c r="C4" s="80" t="str">
        <f t="shared" ref="C4:C67" si="2">IF(ISBLANK(G4), "", C3)</f>
        <v/>
      </c>
      <c r="D4" s="80" t="str">
        <f t="shared" ref="D4:D67" si="3">IF(ISBLANK(G4), "", D3)</f>
        <v/>
      </c>
      <c r="E4" s="81" t="str">
        <f t="shared" ref="E4:E67" si="4">IF(ISBLANK(G4), "", E3)</f>
        <v/>
      </c>
      <c r="F4" s="82" t="str">
        <f t="shared" ref="F4:F67" si="5">IF(ISBLANK(G4), "", F3)</f>
        <v/>
      </c>
      <c r="G4" s="91"/>
      <c r="H4" s="91"/>
      <c r="I4" s="83"/>
      <c r="J4" s="78" t="str">
        <f>IF(ISBLANK(I4), "", Inspection_Regulation_French_Text)</f>
        <v/>
      </c>
      <c r="K4" s="94"/>
      <c r="L4" s="78" t="str">
        <f>IF(ISBLANK(K4), "", Deficiency_French_Text)</f>
        <v/>
      </c>
    </row>
    <row r="5" spans="1:12" s="84" customFormat="1" ht="15" x14ac:dyDescent="0.25">
      <c r="A5" s="78" t="str">
        <f t="shared" si="0"/>
        <v/>
      </c>
      <c r="B5" s="79" t="str">
        <f t="shared" si="1"/>
        <v/>
      </c>
      <c r="C5" s="80" t="str">
        <f t="shared" si="2"/>
        <v/>
      </c>
      <c r="D5" s="80" t="str">
        <f t="shared" si="3"/>
        <v/>
      </c>
      <c r="E5" s="81" t="str">
        <f t="shared" si="4"/>
        <v/>
      </c>
      <c r="F5" s="82" t="str">
        <f t="shared" si="5"/>
        <v/>
      </c>
      <c r="G5" s="91"/>
      <c r="H5" s="91"/>
      <c r="I5" s="83"/>
      <c r="J5" s="78" t="str">
        <f>IF(ISBLANK(I5), "", Inspection_Regulation_French_Text)</f>
        <v/>
      </c>
      <c r="K5" s="94"/>
      <c r="L5" s="78" t="str">
        <f>IF(ISBLANK(K5), "", Deficiency_French_Text)</f>
        <v/>
      </c>
    </row>
    <row r="6" spans="1:12" s="84" customFormat="1" ht="15" x14ac:dyDescent="0.25">
      <c r="A6" s="78" t="str">
        <f t="shared" si="0"/>
        <v/>
      </c>
      <c r="B6" s="79" t="str">
        <f t="shared" si="1"/>
        <v/>
      </c>
      <c r="C6" s="80" t="str">
        <f t="shared" si="2"/>
        <v/>
      </c>
      <c r="D6" s="80" t="str">
        <f t="shared" si="3"/>
        <v/>
      </c>
      <c r="E6" s="81" t="str">
        <f t="shared" si="4"/>
        <v/>
      </c>
      <c r="F6" s="82" t="str">
        <f t="shared" si="5"/>
        <v/>
      </c>
      <c r="G6" s="91"/>
      <c r="H6" s="91"/>
      <c r="I6" s="83"/>
      <c r="J6" s="78" t="str">
        <f>IF(ISBLANK(I6), "", Inspection_Regulation_French_Text)</f>
        <v/>
      </c>
      <c r="K6" s="94"/>
      <c r="L6" s="78" t="str">
        <f>IF(ISBLANK(K6), "", Deficiency_French_Text)</f>
        <v/>
      </c>
    </row>
    <row r="7" spans="1:12" s="84" customFormat="1" ht="15" x14ac:dyDescent="0.25">
      <c r="A7" s="78" t="str">
        <f t="shared" si="0"/>
        <v/>
      </c>
      <c r="B7" s="79" t="str">
        <f t="shared" si="1"/>
        <v/>
      </c>
      <c r="C7" s="80" t="str">
        <f t="shared" si="2"/>
        <v/>
      </c>
      <c r="D7" s="80" t="str">
        <f t="shared" si="3"/>
        <v/>
      </c>
      <c r="E7" s="81" t="str">
        <f t="shared" si="4"/>
        <v/>
      </c>
      <c r="F7" s="82" t="str">
        <f t="shared" si="5"/>
        <v/>
      </c>
      <c r="G7" s="91"/>
      <c r="H7" s="91"/>
      <c r="I7" s="83"/>
      <c r="J7" s="78" t="str">
        <f>IF(ISBLANK(I7), "", Inspection_Regulation_French_Text)</f>
        <v/>
      </c>
      <c r="K7" s="94"/>
      <c r="L7" s="78" t="str">
        <f>IF(ISBLANK(K7), "", Deficiency_French_Text)</f>
        <v/>
      </c>
    </row>
    <row r="8" spans="1:12" s="84" customFormat="1" ht="15" x14ac:dyDescent="0.25">
      <c r="A8" s="78" t="str">
        <f t="shared" si="0"/>
        <v/>
      </c>
      <c r="B8" s="79" t="str">
        <f t="shared" si="1"/>
        <v/>
      </c>
      <c r="C8" s="80" t="str">
        <f t="shared" si="2"/>
        <v/>
      </c>
      <c r="D8" s="80" t="str">
        <f t="shared" si="3"/>
        <v/>
      </c>
      <c r="E8" s="81" t="str">
        <f t="shared" si="4"/>
        <v/>
      </c>
      <c r="F8" s="82" t="str">
        <f t="shared" si="5"/>
        <v/>
      </c>
      <c r="G8" s="91"/>
      <c r="H8" s="91"/>
      <c r="I8" s="83"/>
      <c r="J8" s="78" t="str">
        <f>IF(ISBLANK(I8), "", Inspection_Regulation_French_Text)</f>
        <v/>
      </c>
      <c r="K8" s="94"/>
      <c r="L8" s="78" t="str">
        <f>IF(ISBLANK(K8), "", Deficiency_French_Text)</f>
        <v/>
      </c>
    </row>
    <row r="9" spans="1:12" s="84" customFormat="1" ht="15" x14ac:dyDescent="0.25">
      <c r="A9" s="78" t="str">
        <f t="shared" si="0"/>
        <v/>
      </c>
      <c r="B9" s="79" t="str">
        <f t="shared" si="1"/>
        <v/>
      </c>
      <c r="C9" s="80" t="str">
        <f t="shared" si="2"/>
        <v/>
      </c>
      <c r="D9" s="80" t="str">
        <f t="shared" si="3"/>
        <v/>
      </c>
      <c r="E9" s="81" t="str">
        <f t="shared" si="4"/>
        <v/>
      </c>
      <c r="F9" s="82" t="str">
        <f t="shared" si="5"/>
        <v/>
      </c>
      <c r="G9" s="91"/>
      <c r="H9" s="91"/>
      <c r="I9" s="83"/>
      <c r="J9" s="78" t="str">
        <f>IF(ISBLANK(I9), "", Inspection_Regulation_French_Text)</f>
        <v/>
      </c>
      <c r="K9" s="94"/>
      <c r="L9" s="78" t="str">
        <f>IF(ISBLANK(K9), "", Deficiency_French_Text)</f>
        <v/>
      </c>
    </row>
    <row r="10" spans="1:12" s="84" customFormat="1" ht="15" x14ac:dyDescent="0.25">
      <c r="A10" s="78" t="str">
        <f t="shared" si="0"/>
        <v/>
      </c>
      <c r="B10" s="79" t="str">
        <f t="shared" si="1"/>
        <v/>
      </c>
      <c r="C10" s="80" t="str">
        <f t="shared" si="2"/>
        <v/>
      </c>
      <c r="D10" s="80" t="str">
        <f t="shared" si="3"/>
        <v/>
      </c>
      <c r="E10" s="81" t="str">
        <f t="shared" si="4"/>
        <v/>
      </c>
      <c r="F10" s="82" t="str">
        <f t="shared" si="5"/>
        <v/>
      </c>
      <c r="G10" s="91"/>
      <c r="H10" s="91"/>
      <c r="I10" s="83"/>
      <c r="J10" s="78" t="str">
        <f>IF(ISBLANK(I10), "", Inspection_Regulation_French_Text)</f>
        <v/>
      </c>
      <c r="K10" s="94"/>
      <c r="L10" s="78" t="str">
        <f>IF(ISBLANK(K10), "", Deficiency_French_Text)</f>
        <v/>
      </c>
    </row>
    <row r="11" spans="1:12" s="84" customFormat="1" ht="15" x14ac:dyDescent="0.25">
      <c r="A11" s="78" t="str">
        <f t="shared" si="0"/>
        <v/>
      </c>
      <c r="B11" s="79" t="str">
        <f t="shared" si="1"/>
        <v/>
      </c>
      <c r="C11" s="80" t="str">
        <f t="shared" si="2"/>
        <v/>
      </c>
      <c r="D11" s="80" t="str">
        <f t="shared" si="3"/>
        <v/>
      </c>
      <c r="E11" s="81" t="str">
        <f t="shared" si="4"/>
        <v/>
      </c>
      <c r="F11" s="82" t="str">
        <f t="shared" si="5"/>
        <v/>
      </c>
      <c r="G11" s="91"/>
      <c r="H11" s="91"/>
      <c r="I11" s="83"/>
      <c r="J11" s="78" t="str">
        <f>IF(ISBLANK(I11), "", Inspection_Regulation_French_Text)</f>
        <v/>
      </c>
      <c r="K11" s="94"/>
      <c r="L11" s="78" t="str">
        <f>IF(ISBLANK(K11), "", Deficiency_French_Text)</f>
        <v/>
      </c>
    </row>
    <row r="12" spans="1:12" s="84" customFormat="1" ht="15" x14ac:dyDescent="0.25">
      <c r="A12" s="78" t="str">
        <f t="shared" si="0"/>
        <v/>
      </c>
      <c r="B12" s="79" t="str">
        <f t="shared" si="1"/>
        <v/>
      </c>
      <c r="C12" s="80" t="str">
        <f t="shared" si="2"/>
        <v/>
      </c>
      <c r="D12" s="80" t="str">
        <f t="shared" si="3"/>
        <v/>
      </c>
      <c r="E12" s="81" t="str">
        <f t="shared" si="4"/>
        <v/>
      </c>
      <c r="F12" s="82" t="str">
        <f t="shared" si="5"/>
        <v/>
      </c>
      <c r="G12" s="91"/>
      <c r="H12" s="91"/>
      <c r="I12" s="83"/>
      <c r="J12" s="78" t="str">
        <f>IF(ISBLANK(I12), "", Inspection_Regulation_French_Text)</f>
        <v/>
      </c>
      <c r="K12" s="94"/>
      <c r="L12" s="78" t="str">
        <f>IF(ISBLANK(K12), "", Deficiency_French_Text)</f>
        <v/>
      </c>
    </row>
    <row r="13" spans="1:12" s="84" customFormat="1" ht="15" x14ac:dyDescent="0.25">
      <c r="A13" s="78" t="str">
        <f t="shared" si="0"/>
        <v/>
      </c>
      <c r="B13" s="79" t="str">
        <f t="shared" si="1"/>
        <v/>
      </c>
      <c r="C13" s="80" t="str">
        <f t="shared" si="2"/>
        <v/>
      </c>
      <c r="D13" s="80" t="str">
        <f t="shared" si="3"/>
        <v/>
      </c>
      <c r="E13" s="81" t="str">
        <f t="shared" si="4"/>
        <v/>
      </c>
      <c r="F13" s="82" t="str">
        <f t="shared" si="5"/>
        <v/>
      </c>
      <c r="G13" s="91"/>
      <c r="H13" s="91"/>
      <c r="I13" s="83"/>
      <c r="J13" s="78" t="str">
        <f>IF(ISBLANK(I13), "", Inspection_Regulation_French_Text)</f>
        <v/>
      </c>
      <c r="K13" s="94"/>
      <c r="L13" s="78" t="str">
        <f>IF(ISBLANK(K13), "", Deficiency_French_Text)</f>
        <v/>
      </c>
    </row>
    <row r="14" spans="1:12" s="84" customFormat="1" ht="15" x14ac:dyDescent="0.25">
      <c r="A14" s="78" t="str">
        <f t="shared" si="0"/>
        <v/>
      </c>
      <c r="B14" s="79" t="str">
        <f t="shared" si="1"/>
        <v/>
      </c>
      <c r="C14" s="80" t="str">
        <f t="shared" si="2"/>
        <v/>
      </c>
      <c r="D14" s="80" t="str">
        <f t="shared" si="3"/>
        <v/>
      </c>
      <c r="E14" s="81" t="str">
        <f t="shared" si="4"/>
        <v/>
      </c>
      <c r="F14" s="82" t="str">
        <f t="shared" si="5"/>
        <v/>
      </c>
      <c r="G14" s="91"/>
      <c r="H14" s="91"/>
      <c r="I14" s="83"/>
      <c r="J14" s="78" t="str">
        <f>IF(ISBLANK(I14), "", Inspection_Regulation_French_Text)</f>
        <v/>
      </c>
      <c r="K14" s="94"/>
      <c r="L14" s="78"/>
    </row>
    <row r="15" spans="1:12" s="84" customFormat="1" ht="15" x14ac:dyDescent="0.25">
      <c r="A15" s="78" t="str">
        <f t="shared" si="0"/>
        <v/>
      </c>
      <c r="B15" s="79" t="str">
        <f t="shared" si="1"/>
        <v/>
      </c>
      <c r="C15" s="80" t="str">
        <f t="shared" si="2"/>
        <v/>
      </c>
      <c r="D15" s="80" t="str">
        <f t="shared" si="3"/>
        <v/>
      </c>
      <c r="E15" s="81" t="str">
        <f t="shared" si="4"/>
        <v/>
      </c>
      <c r="F15" s="82" t="str">
        <f t="shared" si="5"/>
        <v/>
      </c>
      <c r="G15" s="91"/>
      <c r="H15" s="91"/>
      <c r="I15" s="83"/>
      <c r="J15" s="78" t="str">
        <f>IF(ISBLANK(I15), "", Inspection_Regulation_French_Text)</f>
        <v/>
      </c>
      <c r="K15" s="94"/>
      <c r="L15" s="78"/>
    </row>
    <row r="16" spans="1:12" s="84" customFormat="1" ht="15" x14ac:dyDescent="0.25">
      <c r="A16" s="78" t="str">
        <f t="shared" si="0"/>
        <v/>
      </c>
      <c r="B16" s="79" t="str">
        <f t="shared" si="1"/>
        <v/>
      </c>
      <c r="C16" s="80" t="str">
        <f t="shared" si="2"/>
        <v/>
      </c>
      <c r="D16" s="80" t="str">
        <f t="shared" si="3"/>
        <v/>
      </c>
      <c r="E16" s="81" t="str">
        <f t="shared" si="4"/>
        <v/>
      </c>
      <c r="F16" s="82" t="str">
        <f t="shared" si="5"/>
        <v/>
      </c>
      <c r="G16" s="91"/>
      <c r="H16" s="91"/>
      <c r="I16" s="83"/>
      <c r="J16" s="78" t="str">
        <f>IF(ISBLANK(I16), "", Inspection_Regulation_French_Text)</f>
        <v/>
      </c>
      <c r="K16" s="94"/>
      <c r="L16" s="78"/>
    </row>
    <row r="17" spans="1:12" s="84" customFormat="1" ht="15" x14ac:dyDescent="0.25">
      <c r="A17" s="78" t="str">
        <f t="shared" si="0"/>
        <v/>
      </c>
      <c r="B17" s="79" t="str">
        <f t="shared" si="1"/>
        <v/>
      </c>
      <c r="C17" s="80" t="str">
        <f t="shared" si="2"/>
        <v/>
      </c>
      <c r="D17" s="80" t="str">
        <f t="shared" si="3"/>
        <v/>
      </c>
      <c r="E17" s="81" t="str">
        <f t="shared" si="4"/>
        <v/>
      </c>
      <c r="F17" s="82" t="str">
        <f t="shared" si="5"/>
        <v/>
      </c>
      <c r="G17" s="91"/>
      <c r="H17" s="91"/>
      <c r="I17" s="83"/>
      <c r="J17" s="78" t="str">
        <f>IF(ISBLANK(I17), "", Inspection_Regulation_French_Text)</f>
        <v/>
      </c>
      <c r="K17" s="94"/>
      <c r="L17" s="78"/>
    </row>
    <row r="18" spans="1:12" s="84" customFormat="1" ht="15" x14ac:dyDescent="0.25">
      <c r="A18" s="78" t="str">
        <f t="shared" si="0"/>
        <v/>
      </c>
      <c r="B18" s="79" t="str">
        <f t="shared" si="1"/>
        <v/>
      </c>
      <c r="C18" s="80" t="str">
        <f t="shared" si="2"/>
        <v/>
      </c>
      <c r="D18" s="80" t="str">
        <f t="shared" si="3"/>
        <v/>
      </c>
      <c r="E18" s="81" t="str">
        <f t="shared" si="4"/>
        <v/>
      </c>
      <c r="F18" s="82" t="str">
        <f t="shared" si="5"/>
        <v/>
      </c>
      <c r="G18" s="91"/>
      <c r="H18" s="91"/>
      <c r="I18" s="83"/>
      <c r="J18" s="78" t="str">
        <f>IF(ISBLANK(I18), "", Inspection_Regulation_French_Text)</f>
        <v/>
      </c>
      <c r="K18" s="94"/>
      <c r="L18" s="78"/>
    </row>
    <row r="19" spans="1:12" s="84" customFormat="1" ht="15" x14ac:dyDescent="0.25">
      <c r="A19" s="78" t="str">
        <f t="shared" si="0"/>
        <v/>
      </c>
      <c r="B19" s="79" t="str">
        <f t="shared" si="1"/>
        <v/>
      </c>
      <c r="C19" s="80" t="str">
        <f t="shared" si="2"/>
        <v/>
      </c>
      <c r="D19" s="80" t="str">
        <f t="shared" si="3"/>
        <v/>
      </c>
      <c r="E19" s="81" t="str">
        <f t="shared" si="4"/>
        <v/>
      </c>
      <c r="F19" s="82" t="str">
        <f t="shared" si="5"/>
        <v/>
      </c>
      <c r="G19" s="91"/>
      <c r="H19" s="91"/>
      <c r="I19" s="83"/>
      <c r="J19" s="78" t="str">
        <f>IF(ISBLANK(I19), "", Inspection_Regulation_French_Text)</f>
        <v/>
      </c>
      <c r="K19" s="94"/>
      <c r="L19" s="78"/>
    </row>
    <row r="20" spans="1:12" s="84" customFormat="1" ht="15" x14ac:dyDescent="0.25">
      <c r="A20" s="78" t="str">
        <f t="shared" si="0"/>
        <v/>
      </c>
      <c r="B20" s="79" t="str">
        <f t="shared" si="1"/>
        <v/>
      </c>
      <c r="C20" s="80" t="str">
        <f t="shared" si="2"/>
        <v/>
      </c>
      <c r="D20" s="80" t="str">
        <f t="shared" si="3"/>
        <v/>
      </c>
      <c r="E20" s="81" t="str">
        <f t="shared" si="4"/>
        <v/>
      </c>
      <c r="F20" s="82" t="str">
        <f t="shared" si="5"/>
        <v/>
      </c>
      <c r="G20" s="91"/>
      <c r="H20" s="91"/>
      <c r="I20" s="83"/>
      <c r="J20" s="78" t="str">
        <f>IF(ISBLANK(I20), "", Inspection_Regulation_French_Text)</f>
        <v/>
      </c>
      <c r="K20" s="94"/>
      <c r="L20" s="78"/>
    </row>
    <row r="21" spans="1:12" s="84" customFormat="1" x14ac:dyDescent="0.3">
      <c r="A21" s="78" t="str">
        <f t="shared" si="0"/>
        <v/>
      </c>
      <c r="B21" s="79" t="str">
        <f t="shared" si="1"/>
        <v/>
      </c>
      <c r="C21" s="80" t="str">
        <f t="shared" si="2"/>
        <v/>
      </c>
      <c r="D21" s="80" t="str">
        <f t="shared" si="3"/>
        <v/>
      </c>
      <c r="E21" s="81" t="str">
        <f t="shared" si="4"/>
        <v/>
      </c>
      <c r="F21" s="82" t="str">
        <f t="shared" si="5"/>
        <v/>
      </c>
      <c r="G21" s="91"/>
      <c r="H21" s="91"/>
      <c r="I21" s="83"/>
      <c r="J21" s="78" t="str">
        <f>IF(ISBLANK(I21), "", Inspection_Regulation_French_Text)</f>
        <v/>
      </c>
      <c r="K21" s="94"/>
      <c r="L21" s="78"/>
    </row>
    <row r="22" spans="1:12" s="84" customFormat="1" x14ac:dyDescent="0.3">
      <c r="A22" s="78" t="str">
        <f t="shared" si="0"/>
        <v/>
      </c>
      <c r="B22" s="79" t="str">
        <f t="shared" si="1"/>
        <v/>
      </c>
      <c r="C22" s="80" t="str">
        <f t="shared" si="2"/>
        <v/>
      </c>
      <c r="D22" s="80" t="str">
        <f t="shared" si="3"/>
        <v/>
      </c>
      <c r="E22" s="81" t="str">
        <f t="shared" si="4"/>
        <v/>
      </c>
      <c r="F22" s="82" t="str">
        <f t="shared" si="5"/>
        <v/>
      </c>
      <c r="G22" s="91"/>
      <c r="H22" s="91"/>
      <c r="I22" s="83"/>
      <c r="J22" s="78" t="str">
        <f>IF(ISBLANK(I22), "", Inspection_Regulation_French_Text)</f>
        <v/>
      </c>
      <c r="K22" s="94"/>
      <c r="L22" s="78"/>
    </row>
    <row r="23" spans="1:12" s="84" customFormat="1" x14ac:dyDescent="0.3">
      <c r="A23" s="78" t="str">
        <f t="shared" si="0"/>
        <v/>
      </c>
      <c r="B23" s="79" t="str">
        <f t="shared" si="1"/>
        <v/>
      </c>
      <c r="C23" s="80" t="str">
        <f t="shared" si="2"/>
        <v/>
      </c>
      <c r="D23" s="80" t="str">
        <f t="shared" si="3"/>
        <v/>
      </c>
      <c r="E23" s="81" t="str">
        <f t="shared" si="4"/>
        <v/>
      </c>
      <c r="F23" s="82" t="str">
        <f t="shared" si="5"/>
        <v/>
      </c>
      <c r="G23" s="91"/>
      <c r="H23" s="91"/>
      <c r="I23" s="83"/>
      <c r="J23" s="78" t="str">
        <f>IF(ISBLANK(I23), "", Inspection_Regulation_French_Text)</f>
        <v/>
      </c>
      <c r="K23" s="94"/>
      <c r="L23" s="78"/>
    </row>
    <row r="24" spans="1:12" s="84" customFormat="1" x14ac:dyDescent="0.3">
      <c r="A24" s="78" t="str">
        <f t="shared" si="0"/>
        <v/>
      </c>
      <c r="B24" s="79" t="str">
        <f t="shared" si="1"/>
        <v/>
      </c>
      <c r="C24" s="80" t="str">
        <f t="shared" si="2"/>
        <v/>
      </c>
      <c r="D24" s="80" t="str">
        <f t="shared" si="3"/>
        <v/>
      </c>
      <c r="E24" s="81" t="str">
        <f t="shared" si="4"/>
        <v/>
      </c>
      <c r="F24" s="82" t="str">
        <f t="shared" si="5"/>
        <v/>
      </c>
      <c r="G24" s="91"/>
      <c r="H24" s="91"/>
      <c r="I24" s="83"/>
      <c r="J24" s="78" t="str">
        <f>IF(ISBLANK(I24), "", Inspection_Regulation_French_Text)</f>
        <v/>
      </c>
      <c r="K24" s="94"/>
      <c r="L24" s="78"/>
    </row>
    <row r="25" spans="1:12" s="84" customFormat="1" x14ac:dyDescent="0.3">
      <c r="A25" s="78" t="str">
        <f t="shared" si="0"/>
        <v/>
      </c>
      <c r="B25" s="79" t="str">
        <f t="shared" si="1"/>
        <v/>
      </c>
      <c r="C25" s="80" t="str">
        <f t="shared" si="2"/>
        <v/>
      </c>
      <c r="D25" s="80" t="str">
        <f t="shared" si="3"/>
        <v/>
      </c>
      <c r="E25" s="81" t="str">
        <f t="shared" si="4"/>
        <v/>
      </c>
      <c r="F25" s="82" t="str">
        <f t="shared" si="5"/>
        <v/>
      </c>
      <c r="G25" s="91"/>
      <c r="H25" s="91"/>
      <c r="I25" s="83"/>
      <c r="J25" s="78" t="str">
        <f>IF(ISBLANK(I25), "", Inspection_Regulation_French_Text)</f>
        <v/>
      </c>
      <c r="K25" s="94"/>
      <c r="L25" s="78"/>
    </row>
    <row r="26" spans="1:12" s="84" customFormat="1" x14ac:dyDescent="0.3">
      <c r="A26" s="78" t="str">
        <f t="shared" si="0"/>
        <v/>
      </c>
      <c r="B26" s="79" t="str">
        <f t="shared" si="1"/>
        <v/>
      </c>
      <c r="C26" s="80" t="str">
        <f t="shared" si="2"/>
        <v/>
      </c>
      <c r="D26" s="80" t="str">
        <f t="shared" si="3"/>
        <v/>
      </c>
      <c r="E26" s="81" t="str">
        <f t="shared" si="4"/>
        <v/>
      </c>
      <c r="F26" s="82" t="str">
        <f t="shared" si="5"/>
        <v/>
      </c>
      <c r="G26" s="91"/>
      <c r="H26" s="91"/>
      <c r="I26" s="83"/>
      <c r="J26" s="78" t="str">
        <f>IF(ISBLANK(I26), "", Inspection_Regulation_French_Text)</f>
        <v/>
      </c>
      <c r="K26" s="94"/>
      <c r="L26" s="78"/>
    </row>
    <row r="27" spans="1:12" s="84" customFormat="1" x14ac:dyDescent="0.3">
      <c r="A27" s="78" t="str">
        <f t="shared" si="0"/>
        <v/>
      </c>
      <c r="B27" s="79" t="str">
        <f t="shared" si="1"/>
        <v/>
      </c>
      <c r="C27" s="80" t="str">
        <f t="shared" si="2"/>
        <v/>
      </c>
      <c r="D27" s="80" t="str">
        <f t="shared" si="3"/>
        <v/>
      </c>
      <c r="E27" s="81" t="str">
        <f t="shared" si="4"/>
        <v/>
      </c>
      <c r="F27" s="82" t="str">
        <f t="shared" si="5"/>
        <v/>
      </c>
      <c r="G27" s="91"/>
      <c r="H27" s="91"/>
      <c r="I27" s="83"/>
      <c r="J27" s="78" t="str">
        <f>IF(ISBLANK(I27), "", Inspection_Regulation_French_Text)</f>
        <v/>
      </c>
      <c r="K27" s="94"/>
      <c r="L27" s="78"/>
    </row>
    <row r="28" spans="1:12" s="84" customFormat="1" x14ac:dyDescent="0.3">
      <c r="A28" s="78" t="str">
        <f t="shared" si="0"/>
        <v/>
      </c>
      <c r="B28" s="79" t="str">
        <f t="shared" si="1"/>
        <v/>
      </c>
      <c r="C28" s="80" t="str">
        <f t="shared" si="2"/>
        <v/>
      </c>
      <c r="D28" s="80" t="str">
        <f t="shared" si="3"/>
        <v/>
      </c>
      <c r="E28" s="81" t="str">
        <f t="shared" si="4"/>
        <v/>
      </c>
      <c r="F28" s="82" t="str">
        <f t="shared" si="5"/>
        <v/>
      </c>
      <c r="G28" s="91"/>
      <c r="H28" s="91"/>
      <c r="I28" s="83"/>
      <c r="J28" s="78" t="str">
        <f>IF(ISBLANK(I28), "", Inspection_Regulation_French_Text)</f>
        <v/>
      </c>
      <c r="K28" s="94"/>
      <c r="L28" s="78"/>
    </row>
    <row r="29" spans="1:12" s="84" customFormat="1" x14ac:dyDescent="0.3">
      <c r="A29" s="78" t="str">
        <f t="shared" si="0"/>
        <v/>
      </c>
      <c r="B29" s="79" t="str">
        <f t="shared" si="1"/>
        <v/>
      </c>
      <c r="C29" s="80" t="str">
        <f t="shared" si="2"/>
        <v/>
      </c>
      <c r="D29" s="80" t="str">
        <f t="shared" si="3"/>
        <v/>
      </c>
      <c r="E29" s="81" t="str">
        <f t="shared" si="4"/>
        <v/>
      </c>
      <c r="F29" s="82" t="str">
        <f t="shared" si="5"/>
        <v/>
      </c>
      <c r="G29" s="91"/>
      <c r="H29" s="91"/>
      <c r="I29" s="83"/>
      <c r="J29" s="78" t="str">
        <f>IF(ISBLANK(I29), "", Inspection_Regulation_French_Text)</f>
        <v/>
      </c>
      <c r="K29" s="94"/>
      <c r="L29" s="78"/>
    </row>
    <row r="30" spans="1:12" s="84" customFormat="1" x14ac:dyDescent="0.3">
      <c r="A30" s="78" t="str">
        <f t="shared" si="0"/>
        <v/>
      </c>
      <c r="B30" s="79" t="str">
        <f t="shared" si="1"/>
        <v/>
      </c>
      <c r="C30" s="80" t="str">
        <f t="shared" si="2"/>
        <v/>
      </c>
      <c r="D30" s="80" t="str">
        <f t="shared" si="3"/>
        <v/>
      </c>
      <c r="E30" s="81" t="str">
        <f t="shared" si="4"/>
        <v/>
      </c>
      <c r="F30" s="82" t="str">
        <f t="shared" si="5"/>
        <v/>
      </c>
      <c r="G30" s="91"/>
      <c r="H30" s="91"/>
      <c r="I30" s="83"/>
      <c r="J30" s="78" t="str">
        <f>IF(ISBLANK(I30), "", Inspection_Regulation_French_Text)</f>
        <v/>
      </c>
      <c r="K30" s="94"/>
      <c r="L30" s="78"/>
    </row>
    <row r="31" spans="1:12" s="84" customFormat="1" x14ac:dyDescent="0.3">
      <c r="A31" s="78" t="str">
        <f t="shared" si="0"/>
        <v/>
      </c>
      <c r="B31" s="79" t="str">
        <f t="shared" si="1"/>
        <v/>
      </c>
      <c r="C31" s="80" t="str">
        <f t="shared" si="2"/>
        <v/>
      </c>
      <c r="D31" s="80" t="str">
        <f t="shared" si="3"/>
        <v/>
      </c>
      <c r="E31" s="81" t="str">
        <f t="shared" si="4"/>
        <v/>
      </c>
      <c r="F31" s="82" t="str">
        <f t="shared" si="5"/>
        <v/>
      </c>
      <c r="G31" s="91"/>
      <c r="H31" s="91"/>
      <c r="I31" s="83"/>
      <c r="J31" s="78" t="str">
        <f>IF(ISBLANK(I31), "", Inspection_Regulation_French_Text)</f>
        <v/>
      </c>
      <c r="K31" s="94"/>
      <c r="L31" s="78"/>
    </row>
    <row r="32" spans="1:12" x14ac:dyDescent="0.3">
      <c r="A32" s="78" t="str">
        <f t="shared" si="0"/>
        <v/>
      </c>
      <c r="B32" s="79" t="str">
        <f t="shared" si="1"/>
        <v/>
      </c>
      <c r="C32" s="80" t="str">
        <f t="shared" si="2"/>
        <v/>
      </c>
      <c r="D32" s="80" t="str">
        <f t="shared" si="3"/>
        <v/>
      </c>
      <c r="E32" s="81" t="str">
        <f t="shared" si="4"/>
        <v/>
      </c>
      <c r="F32" s="82" t="str">
        <f t="shared" si="5"/>
        <v/>
      </c>
      <c r="G32" s="92"/>
      <c r="H32" s="92"/>
      <c r="I32" s="66"/>
      <c r="J32" s="65" t="str">
        <f>IF(ISBLANK(I32), "", Inspection_Regulation_French_Text)</f>
        <v/>
      </c>
      <c r="K32" s="94"/>
      <c r="L32" s="65"/>
    </row>
    <row r="33" spans="1:12" x14ac:dyDescent="0.3">
      <c r="A33" s="78" t="str">
        <f t="shared" si="0"/>
        <v/>
      </c>
      <c r="B33" s="79" t="str">
        <f t="shared" si="1"/>
        <v/>
      </c>
      <c r="C33" s="80" t="str">
        <f t="shared" si="2"/>
        <v/>
      </c>
      <c r="D33" s="80" t="str">
        <f t="shared" si="3"/>
        <v/>
      </c>
      <c r="E33" s="81" t="str">
        <f t="shared" si="4"/>
        <v/>
      </c>
      <c r="F33" s="82" t="str">
        <f t="shared" si="5"/>
        <v/>
      </c>
      <c r="G33" s="92"/>
      <c r="H33" s="92"/>
      <c r="I33" s="66"/>
      <c r="J33" s="65" t="str">
        <f>IF(ISBLANK(I33), "", Inspection_Regulation_French_Text)</f>
        <v/>
      </c>
      <c r="K33" s="94"/>
      <c r="L33" s="65"/>
    </row>
    <row r="34" spans="1:12" x14ac:dyDescent="0.3">
      <c r="A34" s="78" t="str">
        <f t="shared" si="0"/>
        <v/>
      </c>
      <c r="B34" s="79" t="str">
        <f t="shared" si="1"/>
        <v/>
      </c>
      <c r="C34" s="80" t="str">
        <f t="shared" si="2"/>
        <v/>
      </c>
      <c r="D34" s="80" t="str">
        <f t="shared" si="3"/>
        <v/>
      </c>
      <c r="E34" s="81" t="str">
        <f t="shared" si="4"/>
        <v/>
      </c>
      <c r="F34" s="82" t="str">
        <f t="shared" si="5"/>
        <v/>
      </c>
      <c r="G34" s="92"/>
      <c r="H34" s="92"/>
      <c r="I34" s="66"/>
      <c r="J34" s="65" t="str">
        <f>IF(ISBLANK(I34), "", Inspection_Regulation_French_Text)</f>
        <v/>
      </c>
      <c r="K34" s="94"/>
      <c r="L34" s="65"/>
    </row>
    <row r="35" spans="1:12" x14ac:dyDescent="0.3">
      <c r="A35" s="78" t="str">
        <f t="shared" si="0"/>
        <v/>
      </c>
      <c r="B35" s="79" t="str">
        <f t="shared" si="1"/>
        <v/>
      </c>
      <c r="C35" s="80" t="str">
        <f t="shared" si="2"/>
        <v/>
      </c>
      <c r="D35" s="80" t="str">
        <f t="shared" si="3"/>
        <v/>
      </c>
      <c r="E35" s="81" t="str">
        <f t="shared" si="4"/>
        <v/>
      </c>
      <c r="F35" s="82" t="str">
        <f t="shared" si="5"/>
        <v/>
      </c>
      <c r="G35" s="92"/>
      <c r="H35" s="92"/>
      <c r="I35" s="66"/>
      <c r="J35" s="65" t="str">
        <f>IF(ISBLANK(I35), "", Inspection_Regulation_French_Text)</f>
        <v/>
      </c>
      <c r="K35" s="94"/>
      <c r="L35" s="65"/>
    </row>
    <row r="36" spans="1:12" x14ac:dyDescent="0.3">
      <c r="A36" s="78" t="str">
        <f t="shared" si="0"/>
        <v/>
      </c>
      <c r="B36" s="79" t="str">
        <f t="shared" si="1"/>
        <v/>
      </c>
      <c r="C36" s="80" t="str">
        <f t="shared" si="2"/>
        <v/>
      </c>
      <c r="D36" s="80" t="str">
        <f t="shared" si="3"/>
        <v/>
      </c>
      <c r="E36" s="81" t="str">
        <f t="shared" si="4"/>
        <v/>
      </c>
      <c r="F36" s="82" t="str">
        <f t="shared" si="5"/>
        <v/>
      </c>
      <c r="G36" s="92"/>
      <c r="H36" s="92"/>
      <c r="I36" s="66"/>
      <c r="J36" s="65" t="str">
        <f>IF(ISBLANK(I36), "", Inspection_Regulation_French_Text)</f>
        <v/>
      </c>
      <c r="K36" s="94"/>
      <c r="L36" s="65"/>
    </row>
    <row r="37" spans="1:12" x14ac:dyDescent="0.3">
      <c r="A37" s="78" t="str">
        <f t="shared" si="0"/>
        <v/>
      </c>
      <c r="B37" s="79" t="str">
        <f t="shared" si="1"/>
        <v/>
      </c>
      <c r="C37" s="80" t="str">
        <f t="shared" si="2"/>
        <v/>
      </c>
      <c r="D37" s="80" t="str">
        <f t="shared" si="3"/>
        <v/>
      </c>
      <c r="E37" s="81" t="str">
        <f t="shared" si="4"/>
        <v/>
      </c>
      <c r="F37" s="82" t="str">
        <f t="shared" si="5"/>
        <v/>
      </c>
      <c r="G37" s="92"/>
      <c r="H37" s="92"/>
      <c r="I37" s="66"/>
      <c r="J37" s="65" t="str">
        <f>IF(ISBLANK(I37), "", Inspection_Regulation_French_Text)</f>
        <v/>
      </c>
      <c r="K37" s="94"/>
      <c r="L37" s="65"/>
    </row>
    <row r="38" spans="1:12" x14ac:dyDescent="0.3">
      <c r="A38" s="78" t="str">
        <f t="shared" si="0"/>
        <v/>
      </c>
      <c r="B38" s="79" t="str">
        <f t="shared" si="1"/>
        <v/>
      </c>
      <c r="C38" s="80" t="str">
        <f t="shared" si="2"/>
        <v/>
      </c>
      <c r="D38" s="80" t="str">
        <f t="shared" si="3"/>
        <v/>
      </c>
      <c r="E38" s="81" t="str">
        <f t="shared" si="4"/>
        <v/>
      </c>
      <c r="F38" s="82" t="str">
        <f t="shared" si="5"/>
        <v/>
      </c>
      <c r="G38" s="92"/>
      <c r="H38" s="92"/>
      <c r="I38" s="66"/>
      <c r="J38" s="65" t="str">
        <f>IF(ISBLANK(I38), "", Inspection_Regulation_French_Text)</f>
        <v/>
      </c>
      <c r="K38" s="94"/>
      <c r="L38" s="65"/>
    </row>
    <row r="39" spans="1:12" x14ac:dyDescent="0.3">
      <c r="A39" s="78" t="str">
        <f t="shared" si="0"/>
        <v/>
      </c>
      <c r="B39" s="79" t="str">
        <f t="shared" si="1"/>
        <v/>
      </c>
      <c r="C39" s="80" t="str">
        <f t="shared" si="2"/>
        <v/>
      </c>
      <c r="D39" s="80" t="str">
        <f t="shared" si="3"/>
        <v/>
      </c>
      <c r="E39" s="81" t="str">
        <f t="shared" si="4"/>
        <v/>
      </c>
      <c r="F39" s="82" t="str">
        <f t="shared" si="5"/>
        <v/>
      </c>
      <c r="G39" s="92"/>
      <c r="H39" s="92"/>
      <c r="I39" s="66"/>
      <c r="J39" s="65" t="str">
        <f>IF(ISBLANK(I39), "", Inspection_Regulation_French_Text)</f>
        <v/>
      </c>
      <c r="K39" s="94"/>
      <c r="L39" s="65"/>
    </row>
    <row r="40" spans="1:12" x14ac:dyDescent="0.3">
      <c r="A40" s="78" t="str">
        <f t="shared" si="0"/>
        <v/>
      </c>
      <c r="B40" s="79" t="str">
        <f t="shared" si="1"/>
        <v/>
      </c>
      <c r="C40" s="80" t="str">
        <f t="shared" si="2"/>
        <v/>
      </c>
      <c r="D40" s="80" t="str">
        <f t="shared" si="3"/>
        <v/>
      </c>
      <c r="E40" s="81" t="str">
        <f t="shared" si="4"/>
        <v/>
      </c>
      <c r="F40" s="82" t="str">
        <f t="shared" si="5"/>
        <v/>
      </c>
      <c r="G40" s="92"/>
      <c r="H40" s="92"/>
      <c r="I40" s="66"/>
      <c r="J40" s="65" t="str">
        <f>IF(ISBLANK(I40), "", Inspection_Regulation_French_Text)</f>
        <v/>
      </c>
      <c r="K40" s="94"/>
      <c r="L40" s="65"/>
    </row>
    <row r="41" spans="1:12" x14ac:dyDescent="0.3">
      <c r="A41" s="78" t="str">
        <f t="shared" si="0"/>
        <v/>
      </c>
      <c r="B41" s="79" t="str">
        <f t="shared" si="1"/>
        <v/>
      </c>
      <c r="C41" s="80" t="str">
        <f t="shared" si="2"/>
        <v/>
      </c>
      <c r="D41" s="80" t="str">
        <f t="shared" si="3"/>
        <v/>
      </c>
      <c r="E41" s="81" t="str">
        <f t="shared" si="4"/>
        <v/>
      </c>
      <c r="F41" s="82" t="str">
        <f t="shared" si="5"/>
        <v/>
      </c>
      <c r="G41" s="92"/>
      <c r="H41" s="92"/>
      <c r="I41" s="66"/>
      <c r="J41" s="65" t="str">
        <f>IF(ISBLANK(I41), "", Inspection_Regulation_French_Text)</f>
        <v/>
      </c>
      <c r="K41" s="94"/>
      <c r="L41" s="65"/>
    </row>
    <row r="42" spans="1:12" x14ac:dyDescent="0.3">
      <c r="A42" s="65" t="str">
        <f t="shared" ref="A42:A66" si="6">IF(ISBLANK(I42), "", A41)</f>
        <v/>
      </c>
      <c r="B42" s="79" t="str">
        <f t="shared" si="1"/>
        <v/>
      </c>
      <c r="C42" s="80" t="str">
        <f t="shared" si="2"/>
        <v/>
      </c>
      <c r="D42" s="80" t="str">
        <f t="shared" si="3"/>
        <v/>
      </c>
      <c r="E42" s="81" t="str">
        <f t="shared" si="4"/>
        <v/>
      </c>
      <c r="F42" s="82" t="str">
        <f t="shared" si="5"/>
        <v/>
      </c>
      <c r="G42" s="92"/>
      <c r="H42" s="92"/>
      <c r="I42" s="66"/>
      <c r="J42" s="65" t="str">
        <f>IF(ISBLANK(I42), "", Inspection_Regulation_French_Text)</f>
        <v/>
      </c>
      <c r="K42" s="94"/>
      <c r="L42" s="65"/>
    </row>
    <row r="43" spans="1:12" x14ac:dyDescent="0.3">
      <c r="A43" s="65" t="str">
        <f t="shared" si="6"/>
        <v/>
      </c>
      <c r="B43" s="79" t="str">
        <f t="shared" si="1"/>
        <v/>
      </c>
      <c r="C43" s="80" t="str">
        <f t="shared" si="2"/>
        <v/>
      </c>
      <c r="D43" s="80" t="str">
        <f t="shared" si="3"/>
        <v/>
      </c>
      <c r="E43" s="81" t="str">
        <f t="shared" si="4"/>
        <v/>
      </c>
      <c r="F43" s="82" t="str">
        <f t="shared" si="5"/>
        <v/>
      </c>
      <c r="G43" s="92"/>
      <c r="H43" s="92"/>
      <c r="I43" s="66"/>
      <c r="J43" s="65" t="str">
        <f>IF(ISBLANK(I43), "", Inspection_Regulation_French_Text)</f>
        <v/>
      </c>
      <c r="K43" s="94"/>
      <c r="L43" s="65"/>
    </row>
    <row r="44" spans="1:12" x14ac:dyDescent="0.3">
      <c r="A44" s="65" t="str">
        <f t="shared" si="6"/>
        <v/>
      </c>
      <c r="B44" s="79" t="str">
        <f t="shared" si="1"/>
        <v/>
      </c>
      <c r="C44" s="80" t="str">
        <f t="shared" si="2"/>
        <v/>
      </c>
      <c r="D44" s="80" t="str">
        <f t="shared" si="3"/>
        <v/>
      </c>
      <c r="E44" s="81" t="str">
        <f t="shared" si="4"/>
        <v/>
      </c>
      <c r="F44" s="82" t="str">
        <f t="shared" si="5"/>
        <v/>
      </c>
      <c r="G44" s="92"/>
      <c r="H44" s="92"/>
      <c r="I44" s="66"/>
      <c r="J44" s="65" t="str">
        <f>IF(ISBLANK(I44), "", Inspection_Regulation_French_Text)</f>
        <v/>
      </c>
      <c r="K44" s="94"/>
      <c r="L44" s="65"/>
    </row>
    <row r="45" spans="1:12" x14ac:dyDescent="0.3">
      <c r="A45" s="65" t="str">
        <f t="shared" si="6"/>
        <v/>
      </c>
      <c r="B45" s="79" t="str">
        <f t="shared" si="1"/>
        <v/>
      </c>
      <c r="C45" s="80" t="str">
        <f t="shared" si="2"/>
        <v/>
      </c>
      <c r="D45" s="80" t="str">
        <f t="shared" si="3"/>
        <v/>
      </c>
      <c r="E45" s="81" t="str">
        <f t="shared" si="4"/>
        <v/>
      </c>
      <c r="F45" s="82" t="str">
        <f t="shared" si="5"/>
        <v/>
      </c>
      <c r="G45" s="92"/>
      <c r="H45" s="92"/>
      <c r="I45" s="66"/>
      <c r="J45" s="65" t="str">
        <f>IF(ISBLANK(I45), "", Inspection_Regulation_French_Text)</f>
        <v/>
      </c>
      <c r="K45" s="94"/>
      <c r="L45" s="65"/>
    </row>
    <row r="46" spans="1:12" x14ac:dyDescent="0.3">
      <c r="A46" s="65" t="str">
        <f t="shared" si="6"/>
        <v/>
      </c>
      <c r="B46" s="79" t="str">
        <f t="shared" si="1"/>
        <v/>
      </c>
      <c r="C46" s="80" t="str">
        <f t="shared" si="2"/>
        <v/>
      </c>
      <c r="D46" s="80" t="str">
        <f t="shared" si="3"/>
        <v/>
      </c>
      <c r="E46" s="81" t="str">
        <f t="shared" si="4"/>
        <v/>
      </c>
      <c r="F46" s="82" t="str">
        <f t="shared" si="5"/>
        <v/>
      </c>
      <c r="G46" s="92"/>
      <c r="H46" s="92"/>
      <c r="I46" s="66"/>
      <c r="J46" s="65" t="str">
        <f>IF(ISBLANK(I46), "", Inspection_Regulation_French_Text)</f>
        <v/>
      </c>
      <c r="K46" s="94"/>
      <c r="L46" s="65"/>
    </row>
    <row r="47" spans="1:12" x14ac:dyDescent="0.3">
      <c r="A47" s="65" t="str">
        <f t="shared" si="6"/>
        <v/>
      </c>
      <c r="B47" s="79" t="str">
        <f t="shared" si="1"/>
        <v/>
      </c>
      <c r="C47" s="80" t="str">
        <f t="shared" si="2"/>
        <v/>
      </c>
      <c r="D47" s="80" t="str">
        <f t="shared" si="3"/>
        <v/>
      </c>
      <c r="E47" s="81" t="str">
        <f t="shared" si="4"/>
        <v/>
      </c>
      <c r="F47" s="82" t="str">
        <f t="shared" si="5"/>
        <v/>
      </c>
      <c r="G47" s="92"/>
      <c r="H47" s="92"/>
      <c r="I47" s="66"/>
      <c r="J47" s="65" t="str">
        <f>IF(ISBLANK(I47), "", Inspection_Regulation_French_Text)</f>
        <v/>
      </c>
      <c r="K47" s="94"/>
      <c r="L47" s="65"/>
    </row>
    <row r="48" spans="1:12" x14ac:dyDescent="0.3">
      <c r="A48" s="65" t="str">
        <f t="shared" si="6"/>
        <v/>
      </c>
      <c r="B48" s="79" t="str">
        <f t="shared" si="1"/>
        <v/>
      </c>
      <c r="C48" s="80" t="str">
        <f t="shared" si="2"/>
        <v/>
      </c>
      <c r="D48" s="80" t="str">
        <f t="shared" si="3"/>
        <v/>
      </c>
      <c r="E48" s="81" t="str">
        <f t="shared" si="4"/>
        <v/>
      </c>
      <c r="F48" s="82" t="str">
        <f t="shared" si="5"/>
        <v/>
      </c>
      <c r="G48" s="92"/>
      <c r="H48" s="92"/>
      <c r="I48" s="66"/>
      <c r="J48" s="65" t="str">
        <f>IF(ISBLANK(I48), "", Inspection_Regulation_French_Text)</f>
        <v/>
      </c>
      <c r="K48" s="94"/>
      <c r="L48" s="65"/>
    </row>
    <row r="49" spans="1:12" x14ac:dyDescent="0.3">
      <c r="A49" s="65" t="str">
        <f t="shared" si="6"/>
        <v/>
      </c>
      <c r="B49" s="79" t="str">
        <f t="shared" si="1"/>
        <v/>
      </c>
      <c r="C49" s="80" t="str">
        <f t="shared" si="2"/>
        <v/>
      </c>
      <c r="D49" s="80" t="str">
        <f t="shared" si="3"/>
        <v/>
      </c>
      <c r="E49" s="81" t="str">
        <f t="shared" si="4"/>
        <v/>
      </c>
      <c r="F49" s="82" t="str">
        <f t="shared" si="5"/>
        <v/>
      </c>
      <c r="G49" s="92"/>
      <c r="H49" s="92"/>
      <c r="I49" s="66"/>
      <c r="J49" s="65" t="str">
        <f>IF(ISBLANK(I49), "", Inspection_Regulation_French_Text)</f>
        <v/>
      </c>
      <c r="K49" s="94"/>
      <c r="L49" s="65"/>
    </row>
    <row r="50" spans="1:12" x14ac:dyDescent="0.3">
      <c r="A50" s="65" t="str">
        <f t="shared" si="6"/>
        <v/>
      </c>
      <c r="B50" s="79" t="str">
        <f t="shared" si="1"/>
        <v/>
      </c>
      <c r="C50" s="80" t="str">
        <f t="shared" si="2"/>
        <v/>
      </c>
      <c r="D50" s="80" t="str">
        <f t="shared" si="3"/>
        <v/>
      </c>
      <c r="E50" s="81" t="str">
        <f t="shared" si="4"/>
        <v/>
      </c>
      <c r="F50" s="82" t="str">
        <f t="shared" si="5"/>
        <v/>
      </c>
      <c r="G50" s="92"/>
      <c r="H50" s="92"/>
      <c r="I50" s="66"/>
      <c r="J50" s="65" t="str">
        <f>IF(ISBLANK(I50), "", Inspection_Regulation_French_Text)</f>
        <v/>
      </c>
      <c r="K50" s="94"/>
      <c r="L50" s="65"/>
    </row>
    <row r="51" spans="1:12" x14ac:dyDescent="0.3">
      <c r="A51" s="65" t="str">
        <f t="shared" si="6"/>
        <v/>
      </c>
      <c r="B51" s="79" t="str">
        <f t="shared" si="1"/>
        <v/>
      </c>
      <c r="C51" s="80" t="str">
        <f t="shared" si="2"/>
        <v/>
      </c>
      <c r="D51" s="80" t="str">
        <f t="shared" si="3"/>
        <v/>
      </c>
      <c r="E51" s="81" t="str">
        <f t="shared" si="4"/>
        <v/>
      </c>
      <c r="F51" s="82" t="str">
        <f t="shared" si="5"/>
        <v/>
      </c>
      <c r="G51" s="92"/>
      <c r="H51" s="92"/>
      <c r="I51" s="66"/>
      <c r="J51" s="65" t="str">
        <f>IF(ISBLANK(I51), "", Inspection_Regulation_French_Text)</f>
        <v/>
      </c>
      <c r="K51" s="94"/>
      <c r="L51" s="65"/>
    </row>
    <row r="52" spans="1:12" x14ac:dyDescent="0.3">
      <c r="A52" s="65" t="str">
        <f t="shared" si="6"/>
        <v/>
      </c>
      <c r="B52" s="79" t="str">
        <f t="shared" si="1"/>
        <v/>
      </c>
      <c r="C52" s="80" t="str">
        <f t="shared" si="2"/>
        <v/>
      </c>
      <c r="D52" s="80" t="str">
        <f t="shared" si="3"/>
        <v/>
      </c>
      <c r="E52" s="81" t="str">
        <f t="shared" si="4"/>
        <v/>
      </c>
      <c r="F52" s="82" t="str">
        <f t="shared" si="5"/>
        <v/>
      </c>
      <c r="G52" s="92"/>
      <c r="H52" s="92"/>
      <c r="I52" s="66"/>
      <c r="J52" s="65" t="str">
        <f>IF(ISBLANK(I52), "", Inspection_Regulation_French_Text)</f>
        <v/>
      </c>
      <c r="K52" s="94"/>
      <c r="L52" s="65"/>
    </row>
    <row r="53" spans="1:12" x14ac:dyDescent="0.3">
      <c r="A53" s="65" t="str">
        <f t="shared" si="6"/>
        <v/>
      </c>
      <c r="B53" s="79" t="str">
        <f t="shared" si="1"/>
        <v/>
      </c>
      <c r="C53" s="80" t="str">
        <f t="shared" si="2"/>
        <v/>
      </c>
      <c r="D53" s="80" t="str">
        <f t="shared" si="3"/>
        <v/>
      </c>
      <c r="E53" s="81" t="str">
        <f t="shared" si="4"/>
        <v/>
      </c>
      <c r="F53" s="82" t="str">
        <f t="shared" si="5"/>
        <v/>
      </c>
      <c r="G53" s="92"/>
      <c r="H53" s="92"/>
      <c r="I53" s="66"/>
      <c r="J53" s="65" t="str">
        <f>IF(ISBLANK(I53), "", Inspection_Regulation_French_Text)</f>
        <v/>
      </c>
      <c r="K53" s="94"/>
      <c r="L53" s="65"/>
    </row>
    <row r="54" spans="1:12" x14ac:dyDescent="0.3">
      <c r="A54" s="65" t="str">
        <f t="shared" si="6"/>
        <v/>
      </c>
      <c r="B54" s="79" t="str">
        <f t="shared" si="1"/>
        <v/>
      </c>
      <c r="C54" s="80" t="str">
        <f t="shared" si="2"/>
        <v/>
      </c>
      <c r="D54" s="80" t="str">
        <f t="shared" si="3"/>
        <v/>
      </c>
      <c r="E54" s="81" t="str">
        <f t="shared" si="4"/>
        <v/>
      </c>
      <c r="F54" s="82" t="str">
        <f t="shared" si="5"/>
        <v/>
      </c>
      <c r="G54" s="92"/>
      <c r="H54" s="92"/>
      <c r="I54" s="66"/>
      <c r="J54" s="65" t="str">
        <f>IF(ISBLANK(I54), "", Inspection_Regulation_French_Text)</f>
        <v/>
      </c>
      <c r="K54" s="94"/>
      <c r="L54" s="65"/>
    </row>
    <row r="55" spans="1:12" x14ac:dyDescent="0.3">
      <c r="A55" s="65" t="str">
        <f t="shared" si="6"/>
        <v/>
      </c>
      <c r="B55" s="79" t="str">
        <f t="shared" si="1"/>
        <v/>
      </c>
      <c r="C55" s="80" t="str">
        <f t="shared" si="2"/>
        <v/>
      </c>
      <c r="D55" s="80" t="str">
        <f t="shared" si="3"/>
        <v/>
      </c>
      <c r="E55" s="81" t="str">
        <f t="shared" si="4"/>
        <v/>
      </c>
      <c r="F55" s="82" t="str">
        <f t="shared" si="5"/>
        <v/>
      </c>
      <c r="G55" s="92"/>
      <c r="H55" s="92"/>
      <c r="I55" s="66"/>
      <c r="J55" s="65" t="str">
        <f>IF(ISBLANK(I55), "", Inspection_Regulation_French_Text)</f>
        <v/>
      </c>
      <c r="K55" s="94"/>
      <c r="L55" s="65"/>
    </row>
    <row r="56" spans="1:12" x14ac:dyDescent="0.3">
      <c r="A56" s="65" t="str">
        <f t="shared" si="6"/>
        <v/>
      </c>
      <c r="B56" s="79" t="str">
        <f t="shared" si="1"/>
        <v/>
      </c>
      <c r="C56" s="80" t="str">
        <f t="shared" si="2"/>
        <v/>
      </c>
      <c r="D56" s="80" t="str">
        <f t="shared" si="3"/>
        <v/>
      </c>
      <c r="E56" s="81" t="str">
        <f t="shared" si="4"/>
        <v/>
      </c>
      <c r="F56" s="82" t="str">
        <f t="shared" si="5"/>
        <v/>
      </c>
      <c r="G56" s="92"/>
      <c r="H56" s="92"/>
      <c r="I56" s="66"/>
      <c r="J56" s="65" t="str">
        <f>IF(ISBLANK(I56), "", Inspection_Regulation_French_Text)</f>
        <v/>
      </c>
      <c r="K56" s="94"/>
      <c r="L56" s="65"/>
    </row>
    <row r="57" spans="1:12" x14ac:dyDescent="0.3">
      <c r="A57" s="58" t="str">
        <f t="shared" si="6"/>
        <v/>
      </c>
      <c r="B57" s="79" t="str">
        <f t="shared" si="1"/>
        <v/>
      </c>
      <c r="C57" s="80" t="str">
        <f t="shared" si="2"/>
        <v/>
      </c>
      <c r="D57" s="80" t="str">
        <f t="shared" si="3"/>
        <v/>
      </c>
      <c r="E57" s="81" t="str">
        <f t="shared" si="4"/>
        <v/>
      </c>
      <c r="F57" s="82" t="str">
        <f t="shared" si="5"/>
        <v/>
      </c>
      <c r="G57" s="93"/>
      <c r="H57" s="93"/>
      <c r="I57" s="60"/>
      <c r="J57" s="58" t="str">
        <f>IF(ISBLANK(I57), "", Inspection_Regulation_French_Text)</f>
        <v/>
      </c>
      <c r="K57" s="94"/>
      <c r="L57" s="58"/>
    </row>
    <row r="58" spans="1:12" x14ac:dyDescent="0.3">
      <c r="A58" s="58" t="str">
        <f t="shared" si="6"/>
        <v/>
      </c>
      <c r="B58" s="79" t="str">
        <f t="shared" si="1"/>
        <v/>
      </c>
      <c r="C58" s="80" t="str">
        <f t="shared" si="2"/>
        <v/>
      </c>
      <c r="D58" s="80" t="str">
        <f t="shared" si="3"/>
        <v/>
      </c>
      <c r="E58" s="81" t="str">
        <f t="shared" si="4"/>
        <v/>
      </c>
      <c r="F58" s="82" t="str">
        <f t="shared" si="5"/>
        <v/>
      </c>
      <c r="G58" s="93"/>
      <c r="H58" s="93"/>
      <c r="I58" s="60"/>
      <c r="J58" s="58" t="str">
        <f>IF(ISBLANK(I58), "", Inspection_Regulation_French_Text)</f>
        <v/>
      </c>
      <c r="K58" s="94"/>
      <c r="L58" s="58"/>
    </row>
    <row r="59" spans="1:12" x14ac:dyDescent="0.3">
      <c r="A59" s="58" t="str">
        <f t="shared" si="6"/>
        <v/>
      </c>
      <c r="B59" s="79" t="str">
        <f t="shared" si="1"/>
        <v/>
      </c>
      <c r="C59" s="80" t="str">
        <f t="shared" si="2"/>
        <v/>
      </c>
      <c r="D59" s="80" t="str">
        <f t="shared" si="3"/>
        <v/>
      </c>
      <c r="E59" s="81" t="str">
        <f t="shared" si="4"/>
        <v/>
      </c>
      <c r="F59" s="82" t="str">
        <f t="shared" si="5"/>
        <v/>
      </c>
      <c r="G59" s="93"/>
      <c r="H59" s="93"/>
      <c r="I59" s="60"/>
      <c r="J59" s="58" t="str">
        <f>IF(ISBLANK(I59), "", Inspection_Regulation_French_Text)</f>
        <v/>
      </c>
      <c r="K59" s="94"/>
      <c r="L59" s="58"/>
    </row>
    <row r="60" spans="1:12" x14ac:dyDescent="0.3">
      <c r="A60" s="58" t="str">
        <f t="shared" si="6"/>
        <v/>
      </c>
      <c r="B60" s="79" t="str">
        <f t="shared" si="1"/>
        <v/>
      </c>
      <c r="C60" s="80" t="str">
        <f t="shared" si="2"/>
        <v/>
      </c>
      <c r="D60" s="80" t="str">
        <f t="shared" si="3"/>
        <v/>
      </c>
      <c r="E60" s="81" t="str">
        <f t="shared" si="4"/>
        <v/>
      </c>
      <c r="F60" s="82" t="str">
        <f t="shared" si="5"/>
        <v/>
      </c>
      <c r="G60" s="96" t="str">
        <f t="shared" ref="G60:G66" si="7">IF(ISBLANK(I60),"",IF(G59&lt;&gt;"", IF(ISNUMBER(G59), G59 + 1, 1), ""))</f>
        <v/>
      </c>
      <c r="H60" s="93"/>
      <c r="I60" s="60"/>
      <c r="J60" s="58" t="str">
        <f>IF(ISBLANK(I60), "", Inspection_Regulation_French_Text)</f>
        <v/>
      </c>
      <c r="K60" s="94"/>
      <c r="L60" s="58"/>
    </row>
    <row r="61" spans="1:12" x14ac:dyDescent="0.3">
      <c r="A61" s="58" t="str">
        <f t="shared" si="6"/>
        <v/>
      </c>
      <c r="B61" s="79" t="str">
        <f t="shared" si="1"/>
        <v/>
      </c>
      <c r="C61" s="80" t="str">
        <f t="shared" si="2"/>
        <v/>
      </c>
      <c r="D61" s="80" t="str">
        <f t="shared" si="3"/>
        <v/>
      </c>
      <c r="E61" s="81" t="str">
        <f t="shared" si="4"/>
        <v/>
      </c>
      <c r="F61" s="82" t="str">
        <f t="shared" si="5"/>
        <v/>
      </c>
      <c r="G61" s="96" t="str">
        <f t="shared" si="7"/>
        <v/>
      </c>
      <c r="H61" s="93"/>
      <c r="I61" s="60"/>
      <c r="J61" s="58" t="str">
        <f>IF(ISBLANK(I61), "", Inspection_Regulation_French_Text)</f>
        <v/>
      </c>
      <c r="K61" s="94"/>
      <c r="L61" s="58"/>
    </row>
    <row r="62" spans="1:12" x14ac:dyDescent="0.3">
      <c r="A62" s="58" t="str">
        <f t="shared" si="6"/>
        <v/>
      </c>
      <c r="B62" s="79" t="str">
        <f t="shared" si="1"/>
        <v/>
      </c>
      <c r="C62" s="80" t="str">
        <f t="shared" si="2"/>
        <v/>
      </c>
      <c r="D62" s="80" t="str">
        <f t="shared" si="3"/>
        <v/>
      </c>
      <c r="E62" s="81" t="str">
        <f t="shared" si="4"/>
        <v/>
      </c>
      <c r="F62" s="82" t="str">
        <f t="shared" si="5"/>
        <v/>
      </c>
      <c r="G62" s="96" t="str">
        <f t="shared" si="7"/>
        <v/>
      </c>
      <c r="H62" s="93"/>
      <c r="I62" s="60"/>
      <c r="J62" s="58" t="str">
        <f>IF(ISBLANK(I62), "", Inspection_Regulation_French_Text)</f>
        <v/>
      </c>
      <c r="K62" s="94"/>
      <c r="L62" s="58"/>
    </row>
    <row r="63" spans="1:12" x14ac:dyDescent="0.3">
      <c r="A63" s="58" t="str">
        <f t="shared" si="6"/>
        <v/>
      </c>
      <c r="B63" s="79" t="str">
        <f t="shared" si="1"/>
        <v/>
      </c>
      <c r="C63" s="80" t="str">
        <f t="shared" si="2"/>
        <v/>
      </c>
      <c r="D63" s="80" t="str">
        <f t="shared" si="3"/>
        <v/>
      </c>
      <c r="E63" s="81" t="str">
        <f t="shared" si="4"/>
        <v/>
      </c>
      <c r="F63" s="82" t="str">
        <f t="shared" si="5"/>
        <v/>
      </c>
      <c r="G63" s="96" t="str">
        <f t="shared" si="7"/>
        <v/>
      </c>
      <c r="H63" s="93"/>
      <c r="I63" s="60"/>
      <c r="J63" s="58" t="str">
        <f>IF(ISBLANK(I63), "", Inspection_Regulation_French_Text)</f>
        <v/>
      </c>
      <c r="K63" s="94"/>
      <c r="L63" s="58"/>
    </row>
    <row r="64" spans="1:12" x14ac:dyDescent="0.3">
      <c r="A64" s="58" t="str">
        <f t="shared" si="6"/>
        <v/>
      </c>
      <c r="B64" s="79" t="str">
        <f t="shared" si="1"/>
        <v/>
      </c>
      <c r="C64" s="80" t="str">
        <f t="shared" si="2"/>
        <v/>
      </c>
      <c r="D64" s="80" t="str">
        <f t="shared" si="3"/>
        <v/>
      </c>
      <c r="E64" s="81" t="str">
        <f t="shared" si="4"/>
        <v/>
      </c>
      <c r="F64" s="82" t="str">
        <f t="shared" si="5"/>
        <v/>
      </c>
      <c r="G64" s="96" t="str">
        <f t="shared" si="7"/>
        <v/>
      </c>
      <c r="H64" s="93"/>
      <c r="I64" s="60"/>
      <c r="J64" s="58" t="str">
        <f>IF(ISBLANK(I64), "", Inspection_Regulation_French_Text)</f>
        <v/>
      </c>
      <c r="K64" s="94"/>
      <c r="L64" s="58"/>
    </row>
    <row r="65" spans="1:12" x14ac:dyDescent="0.3">
      <c r="A65" s="58" t="str">
        <f t="shared" si="6"/>
        <v/>
      </c>
      <c r="B65" s="79" t="str">
        <f t="shared" si="1"/>
        <v/>
      </c>
      <c r="C65" s="80" t="str">
        <f t="shared" si="2"/>
        <v/>
      </c>
      <c r="D65" s="80" t="str">
        <f t="shared" si="3"/>
        <v/>
      </c>
      <c r="E65" s="81" t="str">
        <f t="shared" si="4"/>
        <v/>
      </c>
      <c r="F65" s="82" t="str">
        <f t="shared" si="5"/>
        <v/>
      </c>
      <c r="G65" s="96" t="str">
        <f t="shared" si="7"/>
        <v/>
      </c>
      <c r="H65" s="93"/>
      <c r="I65" s="60"/>
      <c r="J65" s="58" t="str">
        <f>IF(ISBLANK(I65), "", Inspection_Regulation_French_Text)</f>
        <v/>
      </c>
      <c r="K65" s="94"/>
      <c r="L65" s="58"/>
    </row>
    <row r="66" spans="1:12" x14ac:dyDescent="0.3">
      <c r="A66" s="58" t="str">
        <f t="shared" si="6"/>
        <v/>
      </c>
      <c r="B66" s="79" t="str">
        <f t="shared" si="1"/>
        <v/>
      </c>
      <c r="C66" s="80" t="str">
        <f t="shared" si="2"/>
        <v/>
      </c>
      <c r="D66" s="80" t="str">
        <f t="shared" si="3"/>
        <v/>
      </c>
      <c r="E66" s="81" t="str">
        <f t="shared" si="4"/>
        <v/>
      </c>
      <c r="F66" s="82" t="str">
        <f t="shared" si="5"/>
        <v/>
      </c>
      <c r="G66" s="96" t="str">
        <f t="shared" si="7"/>
        <v/>
      </c>
      <c r="H66" s="93"/>
      <c r="I66" s="60"/>
      <c r="J66" s="58" t="str">
        <f>IF(ISBLANK(I66), "", Inspection_Regulation_French_Text)</f>
        <v/>
      </c>
      <c r="K66" s="94"/>
      <c r="L66" s="58"/>
    </row>
    <row r="67" spans="1:12" x14ac:dyDescent="0.3">
      <c r="A67" s="58" t="str">
        <f t="shared" ref="A67:A100" si="8">IF(ISBLANK(I67), "", A66)</f>
        <v/>
      </c>
      <c r="B67" s="79" t="str">
        <f t="shared" si="1"/>
        <v/>
      </c>
      <c r="C67" s="80" t="str">
        <f t="shared" si="2"/>
        <v/>
      </c>
      <c r="D67" s="80" t="str">
        <f t="shared" si="3"/>
        <v/>
      </c>
      <c r="E67" s="81" t="str">
        <f t="shared" si="4"/>
        <v/>
      </c>
      <c r="F67" s="82" t="str">
        <f t="shared" si="5"/>
        <v/>
      </c>
      <c r="G67" s="96" t="str">
        <f t="shared" ref="G67:G100" si="9">IF(ISBLANK(I67),"",IF(G66&lt;&gt;"", IF(ISNUMBER(G66), G66 + 1, 1), ""))</f>
        <v/>
      </c>
      <c r="H67" s="93"/>
      <c r="I67" s="60"/>
      <c r="J67" s="58" t="str">
        <f>IF(ISBLANK(I67), "", Inspection_Regulation_French_Text)</f>
        <v/>
      </c>
      <c r="K67" s="94"/>
      <c r="L67" s="58"/>
    </row>
    <row r="68" spans="1:12" x14ac:dyDescent="0.3">
      <c r="A68" s="58" t="str">
        <f t="shared" si="8"/>
        <v/>
      </c>
      <c r="B68" s="79" t="str">
        <f t="shared" ref="B68:B93" si="10">IF(ISBLANK(G68), "", B67)</f>
        <v/>
      </c>
      <c r="C68" s="80" t="str">
        <f t="shared" ref="C68:C93" si="11">IF(ISBLANK(G68), "", C67)</f>
        <v/>
      </c>
      <c r="D68" s="80" t="str">
        <f t="shared" ref="D68:E100" si="12">IF(ISBLANK(G68), "", D67)</f>
        <v/>
      </c>
      <c r="E68" s="81" t="str">
        <f t="shared" ref="E68:E93" si="13">IF(ISBLANK(G68), "", E67)</f>
        <v/>
      </c>
      <c r="F68" s="82" t="str">
        <f t="shared" ref="F68:F88" si="14">IF(ISBLANK(G68), "", F67)</f>
        <v/>
      </c>
      <c r="G68" s="96" t="str">
        <f t="shared" si="9"/>
        <v/>
      </c>
      <c r="H68" s="93"/>
      <c r="I68" s="60"/>
      <c r="J68" s="58" t="str">
        <f>IF(ISBLANK(I68), "", Inspection_Regulation_French_Text)</f>
        <v/>
      </c>
      <c r="K68" s="94"/>
      <c r="L68" s="58"/>
    </row>
    <row r="69" spans="1:12" x14ac:dyDescent="0.3">
      <c r="A69" s="58" t="str">
        <f t="shared" si="8"/>
        <v/>
      </c>
      <c r="B69" s="79" t="str">
        <f t="shared" si="10"/>
        <v/>
      </c>
      <c r="C69" s="80" t="str">
        <f t="shared" si="11"/>
        <v/>
      </c>
      <c r="D69" s="80" t="str">
        <f t="shared" si="12"/>
        <v/>
      </c>
      <c r="E69" s="81" t="str">
        <f t="shared" si="13"/>
        <v/>
      </c>
      <c r="F69" s="82" t="str">
        <f t="shared" si="14"/>
        <v/>
      </c>
      <c r="G69" s="96" t="str">
        <f t="shared" si="9"/>
        <v/>
      </c>
      <c r="H69" s="93"/>
      <c r="I69" s="60"/>
      <c r="J69" s="58" t="str">
        <f>IF(ISBLANK(I69), "", Inspection_Regulation_French_Text)</f>
        <v/>
      </c>
      <c r="K69" s="94"/>
      <c r="L69" s="58"/>
    </row>
    <row r="70" spans="1:12" x14ac:dyDescent="0.3">
      <c r="A70" s="58" t="str">
        <f t="shared" si="8"/>
        <v/>
      </c>
      <c r="B70" s="79" t="str">
        <f t="shared" si="10"/>
        <v/>
      </c>
      <c r="C70" s="80" t="str">
        <f t="shared" si="11"/>
        <v/>
      </c>
      <c r="D70" s="80" t="str">
        <f t="shared" si="12"/>
        <v/>
      </c>
      <c r="E70" s="81" t="str">
        <f t="shared" si="13"/>
        <v/>
      </c>
      <c r="F70" s="82" t="str">
        <f t="shared" si="14"/>
        <v/>
      </c>
      <c r="G70" s="96" t="str">
        <f t="shared" si="9"/>
        <v/>
      </c>
      <c r="H70" s="93"/>
      <c r="I70" s="60"/>
      <c r="J70" s="58" t="str">
        <f>IF(ISBLANK(I70), "", Inspection_Regulation_French_Text)</f>
        <v/>
      </c>
      <c r="K70" s="94"/>
      <c r="L70" s="58"/>
    </row>
    <row r="71" spans="1:12" x14ac:dyDescent="0.3">
      <c r="A71" s="58" t="str">
        <f t="shared" si="8"/>
        <v/>
      </c>
      <c r="B71" s="79" t="str">
        <f t="shared" si="10"/>
        <v/>
      </c>
      <c r="C71" s="80" t="str">
        <f t="shared" si="11"/>
        <v/>
      </c>
      <c r="D71" s="80" t="str">
        <f t="shared" si="12"/>
        <v/>
      </c>
      <c r="E71" s="81" t="str">
        <f t="shared" si="13"/>
        <v/>
      </c>
      <c r="F71" s="82" t="str">
        <f t="shared" si="14"/>
        <v/>
      </c>
      <c r="G71" s="96" t="str">
        <f t="shared" si="9"/>
        <v/>
      </c>
      <c r="H71" s="93"/>
      <c r="I71" s="60"/>
      <c r="J71" s="58" t="str">
        <f>IF(ISBLANK(I71), "", Inspection_Regulation_French_Text)</f>
        <v/>
      </c>
      <c r="K71" s="94"/>
      <c r="L71" s="58"/>
    </row>
    <row r="72" spans="1:12" x14ac:dyDescent="0.3">
      <c r="A72" s="58" t="str">
        <f t="shared" si="8"/>
        <v/>
      </c>
      <c r="B72" s="79" t="str">
        <f t="shared" si="10"/>
        <v/>
      </c>
      <c r="C72" s="80" t="str">
        <f t="shared" si="11"/>
        <v/>
      </c>
      <c r="D72" s="80" t="str">
        <f t="shared" si="12"/>
        <v/>
      </c>
      <c r="E72" s="81" t="str">
        <f t="shared" si="13"/>
        <v/>
      </c>
      <c r="F72" s="82" t="str">
        <f t="shared" si="14"/>
        <v/>
      </c>
      <c r="G72" s="96" t="str">
        <f t="shared" si="9"/>
        <v/>
      </c>
      <c r="H72" s="93"/>
      <c r="I72" s="60"/>
      <c r="J72" s="58" t="str">
        <f>IF(ISBLANK(I72), "", Inspection_Regulation_French_Text)</f>
        <v/>
      </c>
      <c r="K72" s="94"/>
      <c r="L72" s="58"/>
    </row>
    <row r="73" spans="1:12" x14ac:dyDescent="0.3">
      <c r="A73" s="58" t="str">
        <f t="shared" si="8"/>
        <v/>
      </c>
      <c r="B73" s="79" t="str">
        <f t="shared" si="10"/>
        <v/>
      </c>
      <c r="C73" s="80" t="str">
        <f t="shared" si="11"/>
        <v/>
      </c>
      <c r="D73" s="80" t="str">
        <f t="shared" si="12"/>
        <v/>
      </c>
      <c r="E73" s="81" t="str">
        <f t="shared" si="13"/>
        <v/>
      </c>
      <c r="F73" s="82" t="str">
        <f t="shared" si="14"/>
        <v/>
      </c>
      <c r="G73" s="96" t="str">
        <f t="shared" si="9"/>
        <v/>
      </c>
      <c r="H73" s="93"/>
      <c r="I73" s="60"/>
      <c r="J73" s="58" t="str">
        <f>IF(ISBLANK(I73), "", Inspection_Regulation_French_Text)</f>
        <v/>
      </c>
      <c r="K73" s="94"/>
      <c r="L73" s="58"/>
    </row>
    <row r="74" spans="1:12" x14ac:dyDescent="0.3">
      <c r="A74" s="58" t="str">
        <f t="shared" si="8"/>
        <v/>
      </c>
      <c r="B74" s="79" t="str">
        <f t="shared" si="10"/>
        <v/>
      </c>
      <c r="C74" s="80" t="str">
        <f t="shared" si="11"/>
        <v/>
      </c>
      <c r="D74" s="80" t="str">
        <f t="shared" si="12"/>
        <v/>
      </c>
      <c r="E74" s="81" t="str">
        <f t="shared" si="13"/>
        <v/>
      </c>
      <c r="F74" s="82" t="str">
        <f t="shared" si="14"/>
        <v/>
      </c>
      <c r="G74" s="96" t="str">
        <f t="shared" si="9"/>
        <v/>
      </c>
      <c r="H74" s="93"/>
      <c r="I74" s="60"/>
      <c r="J74" s="58" t="str">
        <f>IF(ISBLANK(I74), "", Inspection_Regulation_French_Text)</f>
        <v/>
      </c>
      <c r="K74" s="94"/>
      <c r="L74" s="58"/>
    </row>
    <row r="75" spans="1:12" x14ac:dyDescent="0.3">
      <c r="A75" s="58" t="str">
        <f t="shared" si="8"/>
        <v/>
      </c>
      <c r="B75" s="79" t="str">
        <f t="shared" si="10"/>
        <v/>
      </c>
      <c r="C75" s="80" t="str">
        <f t="shared" si="11"/>
        <v/>
      </c>
      <c r="D75" s="80" t="str">
        <f t="shared" si="12"/>
        <v/>
      </c>
      <c r="E75" s="81" t="str">
        <f t="shared" si="13"/>
        <v/>
      </c>
      <c r="F75" s="82" t="str">
        <f t="shared" si="14"/>
        <v/>
      </c>
      <c r="G75" s="96" t="str">
        <f t="shared" si="9"/>
        <v/>
      </c>
      <c r="H75" s="93"/>
      <c r="I75" s="60"/>
      <c r="J75" s="58" t="str">
        <f>IF(ISBLANK(I75), "", Inspection_Regulation_French_Text)</f>
        <v/>
      </c>
      <c r="K75" s="94"/>
      <c r="L75" s="58"/>
    </row>
    <row r="76" spans="1:12" x14ac:dyDescent="0.3">
      <c r="A76" s="58" t="str">
        <f t="shared" si="8"/>
        <v/>
      </c>
      <c r="B76" s="79" t="str">
        <f t="shared" si="10"/>
        <v/>
      </c>
      <c r="C76" s="80" t="str">
        <f t="shared" si="11"/>
        <v/>
      </c>
      <c r="D76" s="80" t="str">
        <f t="shared" si="12"/>
        <v/>
      </c>
      <c r="E76" s="81" t="str">
        <f t="shared" si="13"/>
        <v/>
      </c>
      <c r="F76" s="82" t="str">
        <f t="shared" si="14"/>
        <v/>
      </c>
      <c r="G76" s="96" t="str">
        <f t="shared" si="9"/>
        <v/>
      </c>
      <c r="H76" s="93"/>
      <c r="I76" s="60"/>
      <c r="J76" s="58" t="str">
        <f>IF(ISBLANK(I76), "", Inspection_Regulation_French_Text)</f>
        <v/>
      </c>
      <c r="K76" s="94"/>
      <c r="L76" s="58"/>
    </row>
    <row r="77" spans="1:12" x14ac:dyDescent="0.3">
      <c r="A77" s="58" t="str">
        <f t="shared" si="8"/>
        <v/>
      </c>
      <c r="B77" s="79" t="str">
        <f t="shared" si="10"/>
        <v/>
      </c>
      <c r="C77" s="80" t="str">
        <f t="shared" si="11"/>
        <v/>
      </c>
      <c r="D77" s="80" t="str">
        <f t="shared" si="12"/>
        <v/>
      </c>
      <c r="E77" s="81" t="str">
        <f t="shared" si="13"/>
        <v/>
      </c>
      <c r="F77" s="82" t="str">
        <f t="shared" si="14"/>
        <v/>
      </c>
      <c r="G77" s="96" t="str">
        <f t="shared" si="9"/>
        <v/>
      </c>
      <c r="H77" s="93"/>
      <c r="I77" s="60"/>
      <c r="J77" s="58" t="str">
        <f>IF(ISBLANK(I77), "", Inspection_Regulation_French_Text)</f>
        <v/>
      </c>
      <c r="K77" s="94"/>
      <c r="L77" s="58"/>
    </row>
    <row r="78" spans="1:12" x14ac:dyDescent="0.3">
      <c r="A78" s="58" t="str">
        <f t="shared" si="8"/>
        <v/>
      </c>
      <c r="B78" s="79" t="str">
        <f t="shared" si="10"/>
        <v/>
      </c>
      <c r="C78" s="80" t="str">
        <f t="shared" si="11"/>
        <v/>
      </c>
      <c r="D78" s="80" t="str">
        <f t="shared" si="12"/>
        <v/>
      </c>
      <c r="E78" s="81" t="str">
        <f t="shared" si="13"/>
        <v/>
      </c>
      <c r="F78" s="82" t="str">
        <f t="shared" si="14"/>
        <v/>
      </c>
      <c r="G78" s="96" t="str">
        <f t="shared" si="9"/>
        <v/>
      </c>
      <c r="H78" s="93"/>
      <c r="I78" s="60"/>
      <c r="J78" s="58" t="str">
        <f>IF(ISBLANK(I78), "", Inspection_Regulation_French_Text)</f>
        <v/>
      </c>
      <c r="K78" s="94"/>
      <c r="L78" s="58"/>
    </row>
    <row r="79" spans="1:12" x14ac:dyDescent="0.3">
      <c r="A79" s="58" t="str">
        <f t="shared" si="8"/>
        <v/>
      </c>
      <c r="B79" s="79" t="str">
        <f t="shared" si="10"/>
        <v/>
      </c>
      <c r="C79" s="80" t="str">
        <f t="shared" si="11"/>
        <v/>
      </c>
      <c r="D79" s="80" t="str">
        <f t="shared" si="12"/>
        <v/>
      </c>
      <c r="E79" s="81" t="str">
        <f t="shared" si="13"/>
        <v/>
      </c>
      <c r="F79" s="82" t="str">
        <f t="shared" si="14"/>
        <v/>
      </c>
      <c r="G79" s="96" t="str">
        <f t="shared" si="9"/>
        <v/>
      </c>
      <c r="H79" s="93"/>
      <c r="I79" s="60"/>
      <c r="J79" s="58" t="str">
        <f>IF(ISBLANK(I79), "", Inspection_Regulation_French_Text)</f>
        <v/>
      </c>
      <c r="K79" s="94"/>
      <c r="L79" s="58"/>
    </row>
    <row r="80" spans="1:12" x14ac:dyDescent="0.3">
      <c r="A80" s="58" t="str">
        <f t="shared" si="8"/>
        <v/>
      </c>
      <c r="B80" s="79" t="str">
        <f t="shared" si="10"/>
        <v/>
      </c>
      <c r="C80" s="80" t="str">
        <f t="shared" si="11"/>
        <v/>
      </c>
      <c r="D80" s="80" t="str">
        <f t="shared" si="12"/>
        <v/>
      </c>
      <c r="E80" s="81" t="str">
        <f t="shared" si="13"/>
        <v/>
      </c>
      <c r="F80" s="82" t="str">
        <f t="shared" si="14"/>
        <v/>
      </c>
      <c r="G80" s="96" t="str">
        <f t="shared" si="9"/>
        <v/>
      </c>
      <c r="H80" s="93"/>
      <c r="I80" s="60"/>
      <c r="J80" s="58" t="str">
        <f>IF(ISBLANK(I80), "", Inspection_Regulation_French_Text)</f>
        <v/>
      </c>
      <c r="K80" s="94"/>
      <c r="L80" s="58"/>
    </row>
    <row r="81" spans="1:12" x14ac:dyDescent="0.3">
      <c r="A81" s="58" t="str">
        <f t="shared" si="8"/>
        <v/>
      </c>
      <c r="B81" s="79" t="str">
        <f t="shared" si="10"/>
        <v/>
      </c>
      <c r="C81" s="80" t="str">
        <f t="shared" si="11"/>
        <v/>
      </c>
      <c r="D81" s="80" t="str">
        <f t="shared" si="12"/>
        <v/>
      </c>
      <c r="E81" s="81" t="str">
        <f t="shared" si="13"/>
        <v/>
      </c>
      <c r="F81" s="82" t="str">
        <f t="shared" si="14"/>
        <v/>
      </c>
      <c r="G81" s="96" t="str">
        <f t="shared" si="9"/>
        <v/>
      </c>
      <c r="H81" s="93"/>
      <c r="I81" s="60"/>
      <c r="J81" s="58" t="str">
        <f>IF(ISBLANK(I81), "", Inspection_Regulation_French_Text)</f>
        <v/>
      </c>
      <c r="K81" s="94"/>
      <c r="L81" s="58"/>
    </row>
    <row r="82" spans="1:12" x14ac:dyDescent="0.3">
      <c r="A82" s="58" t="str">
        <f t="shared" si="8"/>
        <v/>
      </c>
      <c r="B82" s="79" t="str">
        <f t="shared" si="10"/>
        <v/>
      </c>
      <c r="C82" s="80" t="str">
        <f t="shared" si="11"/>
        <v/>
      </c>
      <c r="D82" s="80" t="str">
        <f t="shared" si="12"/>
        <v/>
      </c>
      <c r="E82" s="81" t="str">
        <f t="shared" si="13"/>
        <v/>
      </c>
      <c r="F82" s="82" t="str">
        <f t="shared" si="14"/>
        <v/>
      </c>
      <c r="G82" s="96" t="str">
        <f t="shared" si="9"/>
        <v/>
      </c>
      <c r="H82" s="93"/>
      <c r="I82" s="60"/>
      <c r="J82" s="58" t="str">
        <f>IF(ISBLANK(I82), "", Inspection_Regulation_French_Text)</f>
        <v/>
      </c>
      <c r="K82" s="94"/>
      <c r="L82" s="58"/>
    </row>
    <row r="83" spans="1:12" x14ac:dyDescent="0.3">
      <c r="A83" s="58" t="str">
        <f t="shared" si="8"/>
        <v/>
      </c>
      <c r="B83" s="79" t="str">
        <f t="shared" si="10"/>
        <v/>
      </c>
      <c r="C83" s="80" t="str">
        <f t="shared" si="11"/>
        <v/>
      </c>
      <c r="D83" s="80" t="str">
        <f t="shared" si="12"/>
        <v/>
      </c>
      <c r="E83" s="81" t="str">
        <f t="shared" si="13"/>
        <v/>
      </c>
      <c r="F83" s="82" t="str">
        <f t="shared" si="14"/>
        <v/>
      </c>
      <c r="G83" s="96" t="str">
        <f t="shared" si="9"/>
        <v/>
      </c>
      <c r="H83" s="93"/>
      <c r="I83" s="60"/>
      <c r="J83" s="58" t="str">
        <f>IF(ISBLANK(I83), "", Inspection_Regulation_French_Text)</f>
        <v/>
      </c>
      <c r="K83" s="94"/>
      <c r="L83" s="58"/>
    </row>
    <row r="84" spans="1:12" x14ac:dyDescent="0.3">
      <c r="A84" s="58" t="str">
        <f t="shared" si="8"/>
        <v/>
      </c>
      <c r="B84" s="79" t="str">
        <f t="shared" si="10"/>
        <v/>
      </c>
      <c r="C84" s="80" t="str">
        <f t="shared" si="11"/>
        <v/>
      </c>
      <c r="D84" s="80" t="str">
        <f t="shared" si="12"/>
        <v/>
      </c>
      <c r="E84" s="81" t="str">
        <f t="shared" si="13"/>
        <v/>
      </c>
      <c r="F84" s="82" t="str">
        <f t="shared" si="14"/>
        <v/>
      </c>
      <c r="G84" s="96" t="str">
        <f t="shared" si="9"/>
        <v/>
      </c>
      <c r="H84" s="93"/>
      <c r="I84" s="60"/>
      <c r="J84" s="58" t="str">
        <f>IF(ISBLANK(I84), "", Inspection_Regulation_French_Text)</f>
        <v/>
      </c>
      <c r="K84" s="94"/>
      <c r="L84" s="58"/>
    </row>
    <row r="85" spans="1:12" x14ac:dyDescent="0.3">
      <c r="A85" s="58" t="str">
        <f t="shared" si="8"/>
        <v/>
      </c>
      <c r="B85" s="79" t="str">
        <f t="shared" si="10"/>
        <v/>
      </c>
      <c r="C85" s="80" t="str">
        <f t="shared" si="11"/>
        <v/>
      </c>
      <c r="D85" s="80" t="str">
        <f t="shared" si="12"/>
        <v/>
      </c>
      <c r="E85" s="81" t="str">
        <f t="shared" si="13"/>
        <v/>
      </c>
      <c r="F85" s="82" t="str">
        <f t="shared" si="14"/>
        <v/>
      </c>
      <c r="G85" s="96" t="str">
        <f t="shared" si="9"/>
        <v/>
      </c>
      <c r="H85" s="93"/>
      <c r="I85" s="60"/>
      <c r="J85" s="58" t="str">
        <f>IF(ISBLANK(I85), "", Inspection_Regulation_French_Text)</f>
        <v/>
      </c>
      <c r="K85" s="94"/>
      <c r="L85" s="58"/>
    </row>
    <row r="86" spans="1:12" x14ac:dyDescent="0.3">
      <c r="A86" s="58" t="str">
        <f t="shared" si="8"/>
        <v/>
      </c>
      <c r="B86" s="79" t="str">
        <f t="shared" si="10"/>
        <v/>
      </c>
      <c r="C86" s="80" t="str">
        <f t="shared" si="11"/>
        <v/>
      </c>
      <c r="D86" s="80" t="str">
        <f t="shared" si="12"/>
        <v/>
      </c>
      <c r="E86" s="81" t="str">
        <f t="shared" si="13"/>
        <v/>
      </c>
      <c r="F86" s="82" t="str">
        <f t="shared" si="14"/>
        <v/>
      </c>
      <c r="G86" s="96" t="str">
        <f t="shared" si="9"/>
        <v/>
      </c>
      <c r="H86" s="93"/>
      <c r="I86" s="60"/>
      <c r="J86" s="58" t="str">
        <f>IF(ISBLANK(I86), "", Inspection_Regulation_French_Text)</f>
        <v/>
      </c>
      <c r="K86" s="94"/>
      <c r="L86" s="58"/>
    </row>
    <row r="87" spans="1:12" x14ac:dyDescent="0.3">
      <c r="A87" s="58" t="str">
        <f t="shared" si="8"/>
        <v/>
      </c>
      <c r="B87" s="79" t="str">
        <f t="shared" si="10"/>
        <v/>
      </c>
      <c r="C87" s="80" t="str">
        <f t="shared" si="11"/>
        <v/>
      </c>
      <c r="D87" s="80" t="str">
        <f t="shared" si="12"/>
        <v/>
      </c>
      <c r="E87" s="81" t="str">
        <f t="shared" si="13"/>
        <v/>
      </c>
      <c r="F87" s="82" t="str">
        <f t="shared" si="14"/>
        <v/>
      </c>
      <c r="G87" s="96" t="str">
        <f t="shared" si="9"/>
        <v/>
      </c>
      <c r="H87" s="93"/>
      <c r="I87" s="60"/>
      <c r="J87" s="58" t="str">
        <f>IF(ISBLANK(I87), "", Inspection_Regulation_French_Text)</f>
        <v/>
      </c>
      <c r="K87" s="94"/>
      <c r="L87" s="58"/>
    </row>
    <row r="88" spans="1:12" x14ac:dyDescent="0.3">
      <c r="A88" s="58" t="str">
        <f t="shared" si="8"/>
        <v/>
      </c>
      <c r="B88" s="79" t="str">
        <f t="shared" si="10"/>
        <v/>
      </c>
      <c r="C88" s="80" t="str">
        <f t="shared" si="11"/>
        <v/>
      </c>
      <c r="D88" s="80" t="str">
        <f t="shared" si="12"/>
        <v/>
      </c>
      <c r="E88" s="81" t="str">
        <f t="shared" si="13"/>
        <v/>
      </c>
      <c r="F88" s="82" t="str">
        <f t="shared" si="14"/>
        <v/>
      </c>
      <c r="G88" s="96" t="str">
        <f t="shared" si="9"/>
        <v/>
      </c>
      <c r="H88" s="93"/>
      <c r="I88" s="60"/>
      <c r="J88" s="58" t="str">
        <f>IF(ISBLANK(I88), "", Inspection_Regulation_French_Text)</f>
        <v/>
      </c>
      <c r="K88" s="94"/>
      <c r="L88" s="58"/>
    </row>
    <row r="89" spans="1:12" x14ac:dyDescent="0.3">
      <c r="A89" s="58" t="str">
        <f t="shared" si="8"/>
        <v/>
      </c>
      <c r="B89" s="79" t="str">
        <f t="shared" si="10"/>
        <v/>
      </c>
      <c r="C89" s="80" t="str">
        <f t="shared" si="11"/>
        <v/>
      </c>
      <c r="D89" s="80" t="str">
        <f t="shared" si="12"/>
        <v/>
      </c>
      <c r="E89" s="80" t="str">
        <f t="shared" si="12"/>
        <v/>
      </c>
      <c r="F89" s="82" t="str">
        <f t="shared" ref="F89:F93" si="15">IF(ISBLANK(I89), "", F88)</f>
        <v/>
      </c>
      <c r="G89" s="96" t="str">
        <f t="shared" si="9"/>
        <v/>
      </c>
      <c r="H89" s="93"/>
      <c r="J89" s="58" t="str">
        <f>IF(ISBLANK(I89), "", Inspection_Regulation_French_Text)</f>
        <v/>
      </c>
      <c r="K89" s="94"/>
      <c r="L89" s="58"/>
    </row>
    <row r="90" spans="1:12" x14ac:dyDescent="0.3">
      <c r="A90" s="58" t="str">
        <f t="shared" si="8"/>
        <v/>
      </c>
      <c r="B90" s="79" t="str">
        <f t="shared" si="10"/>
        <v/>
      </c>
      <c r="C90" s="80" t="str">
        <f t="shared" si="11"/>
        <v/>
      </c>
      <c r="D90" s="80" t="str">
        <f t="shared" si="12"/>
        <v/>
      </c>
      <c r="E90" s="81" t="str">
        <f t="shared" si="13"/>
        <v/>
      </c>
      <c r="F90" s="82" t="str">
        <f t="shared" si="15"/>
        <v/>
      </c>
      <c r="G90" s="96" t="str">
        <f t="shared" si="9"/>
        <v/>
      </c>
      <c r="H90" s="93"/>
      <c r="J90" s="58" t="str">
        <f>IF(ISBLANK(I90), "", Inspection_Regulation_French_Text)</f>
        <v/>
      </c>
      <c r="K90" s="94"/>
      <c r="L90" s="58"/>
    </row>
    <row r="91" spans="1:12" x14ac:dyDescent="0.3">
      <c r="A91" s="58" t="str">
        <f t="shared" si="8"/>
        <v/>
      </c>
      <c r="B91" s="79" t="str">
        <f t="shared" si="10"/>
        <v/>
      </c>
      <c r="C91" s="80" t="str">
        <f t="shared" si="11"/>
        <v/>
      </c>
      <c r="D91" s="80" t="str">
        <f t="shared" si="12"/>
        <v/>
      </c>
      <c r="E91" s="81" t="str">
        <f t="shared" si="13"/>
        <v/>
      </c>
      <c r="F91" s="82" t="str">
        <f t="shared" si="15"/>
        <v/>
      </c>
      <c r="G91" s="96" t="str">
        <f t="shared" si="9"/>
        <v/>
      </c>
      <c r="H91" s="96" t="str">
        <f t="shared" ref="H91:H100" si="16">IF(ISBLANK(I91), "", 1)</f>
        <v/>
      </c>
      <c r="J91" s="58" t="str">
        <f>IF(ISBLANK(I91), "", Inspection_Regulation_French_Text)</f>
        <v/>
      </c>
      <c r="K91" s="60"/>
      <c r="L91" s="58"/>
    </row>
    <row r="92" spans="1:12" x14ac:dyDescent="0.3">
      <c r="A92" s="58" t="str">
        <f t="shared" si="8"/>
        <v/>
      </c>
      <c r="B92" s="79" t="str">
        <f t="shared" si="10"/>
        <v/>
      </c>
      <c r="C92" s="80" t="str">
        <f t="shared" si="11"/>
        <v/>
      </c>
      <c r="D92" s="80" t="str">
        <f t="shared" si="12"/>
        <v/>
      </c>
      <c r="E92" s="81" t="str">
        <f t="shared" si="13"/>
        <v/>
      </c>
      <c r="F92" s="82" t="str">
        <f t="shared" si="15"/>
        <v/>
      </c>
      <c r="G92" s="96" t="str">
        <f t="shared" si="9"/>
        <v/>
      </c>
      <c r="H92" s="96" t="str">
        <f t="shared" si="16"/>
        <v/>
      </c>
      <c r="J92" s="58" t="str">
        <f>IF(ISBLANK(I92), "", Inspection_Regulation_French_Text)</f>
        <v/>
      </c>
      <c r="K92" s="60"/>
      <c r="L92" s="58"/>
    </row>
    <row r="93" spans="1:12" x14ac:dyDescent="0.3">
      <c r="A93" s="58" t="str">
        <f t="shared" si="8"/>
        <v/>
      </c>
      <c r="B93" s="79" t="str">
        <f t="shared" si="10"/>
        <v/>
      </c>
      <c r="C93" s="80" t="str">
        <f t="shared" si="11"/>
        <v/>
      </c>
      <c r="D93" s="80" t="str">
        <f t="shared" si="12"/>
        <v/>
      </c>
      <c r="E93" s="81" t="str">
        <f t="shared" si="13"/>
        <v/>
      </c>
      <c r="F93" s="82" t="str">
        <f t="shared" si="15"/>
        <v/>
      </c>
      <c r="G93" s="96" t="str">
        <f t="shared" si="9"/>
        <v/>
      </c>
      <c r="H93" s="96" t="str">
        <f t="shared" si="16"/>
        <v/>
      </c>
      <c r="J93" s="58" t="str">
        <f>IF(ISBLANK(I93), "", Inspection_Regulation_French_Text)</f>
        <v/>
      </c>
      <c r="K93" s="60"/>
      <c r="L93" s="58"/>
    </row>
    <row r="94" spans="1:12" x14ac:dyDescent="0.3">
      <c r="A94" s="58" t="str">
        <f t="shared" si="8"/>
        <v/>
      </c>
      <c r="B94" s="58" t="str">
        <f t="shared" ref="B94:B100" si="17">IF(ISBLANK(I94), "", B93)</f>
        <v/>
      </c>
      <c r="C94" s="58" t="str">
        <f t="shared" ref="C94:C100" si="18">IF(ISBLANK(I94), "", C93)</f>
        <v/>
      </c>
      <c r="D94" s="80" t="str">
        <f t="shared" si="12"/>
        <v/>
      </c>
      <c r="E94" s="59" t="str">
        <f t="shared" ref="E94:E100" si="19">IF(ISBLANK(I94), "", E93)</f>
        <v/>
      </c>
      <c r="F94" s="59" t="str">
        <f t="shared" ref="F94:F100" si="20">IF(ISBLANK(I94), "", F93)</f>
        <v/>
      </c>
      <c r="G94" s="96" t="str">
        <f t="shared" si="9"/>
        <v/>
      </c>
      <c r="H94" s="96" t="str">
        <f t="shared" si="16"/>
        <v/>
      </c>
      <c r="J94" s="58" t="str">
        <f>IF(ISBLANK(I94), "", Inspection_Regulation_French_Text)</f>
        <v/>
      </c>
      <c r="K94" s="60"/>
      <c r="L94" s="58"/>
    </row>
    <row r="95" spans="1:12" x14ac:dyDescent="0.3">
      <c r="A95" s="58" t="str">
        <f t="shared" si="8"/>
        <v/>
      </c>
      <c r="B95" s="58" t="str">
        <f t="shared" si="17"/>
        <v/>
      </c>
      <c r="C95" s="58" t="str">
        <f t="shared" si="18"/>
        <v/>
      </c>
      <c r="D95" s="80" t="str">
        <f t="shared" si="12"/>
        <v/>
      </c>
      <c r="E95" s="59" t="str">
        <f t="shared" si="19"/>
        <v/>
      </c>
      <c r="F95" s="59" t="str">
        <f t="shared" si="20"/>
        <v/>
      </c>
      <c r="G95" s="96" t="str">
        <f t="shared" si="9"/>
        <v/>
      </c>
      <c r="H95" s="96" t="str">
        <f t="shared" si="16"/>
        <v/>
      </c>
      <c r="J95" s="58" t="str">
        <f>IF(ISBLANK(I95), "", Inspection_Regulation_French_Text)</f>
        <v/>
      </c>
      <c r="K95" s="60"/>
      <c r="L95" s="58"/>
    </row>
    <row r="96" spans="1:12" x14ac:dyDescent="0.3">
      <c r="A96" s="58" t="str">
        <f t="shared" si="8"/>
        <v/>
      </c>
      <c r="B96" s="58" t="str">
        <f t="shared" si="17"/>
        <v/>
      </c>
      <c r="C96" s="58" t="str">
        <f t="shared" si="18"/>
        <v/>
      </c>
      <c r="D96" s="80" t="str">
        <f t="shared" si="12"/>
        <v/>
      </c>
      <c r="E96" s="59" t="str">
        <f t="shared" si="19"/>
        <v/>
      </c>
      <c r="F96" s="59" t="str">
        <f t="shared" si="20"/>
        <v/>
      </c>
      <c r="G96" s="96" t="str">
        <f t="shared" si="9"/>
        <v/>
      </c>
      <c r="H96" s="96" t="str">
        <f t="shared" si="16"/>
        <v/>
      </c>
      <c r="J96" s="58" t="str">
        <f>IF(ISBLANK(I96), "", Inspection_Regulation_French_Text)</f>
        <v/>
      </c>
      <c r="K96" s="60"/>
      <c r="L96" s="58"/>
    </row>
    <row r="97" spans="1:12" x14ac:dyDescent="0.3">
      <c r="A97" s="58" t="str">
        <f t="shared" si="8"/>
        <v/>
      </c>
      <c r="B97" s="58" t="str">
        <f t="shared" si="17"/>
        <v/>
      </c>
      <c r="C97" s="58" t="str">
        <f t="shared" si="18"/>
        <v/>
      </c>
      <c r="D97" s="80" t="str">
        <f t="shared" si="12"/>
        <v/>
      </c>
      <c r="E97" s="59" t="str">
        <f t="shared" si="19"/>
        <v/>
      </c>
      <c r="F97" s="59" t="str">
        <f t="shared" si="20"/>
        <v/>
      </c>
      <c r="G97" s="96" t="str">
        <f t="shared" si="9"/>
        <v/>
      </c>
      <c r="H97" s="96" t="str">
        <f t="shared" si="16"/>
        <v/>
      </c>
      <c r="J97" s="58" t="str">
        <f>IF(ISBLANK(I97), "", Inspection_Regulation_French_Text)</f>
        <v/>
      </c>
      <c r="K97" s="60"/>
      <c r="L97" s="58"/>
    </row>
    <row r="98" spans="1:12" x14ac:dyDescent="0.3">
      <c r="A98" s="58" t="str">
        <f t="shared" si="8"/>
        <v/>
      </c>
      <c r="B98" s="58" t="str">
        <f t="shared" si="17"/>
        <v/>
      </c>
      <c r="C98" s="58" t="str">
        <f t="shared" si="18"/>
        <v/>
      </c>
      <c r="D98" s="80" t="str">
        <f t="shared" si="12"/>
        <v/>
      </c>
      <c r="E98" s="59" t="str">
        <f t="shared" si="19"/>
        <v/>
      </c>
      <c r="F98" s="59" t="str">
        <f t="shared" si="20"/>
        <v/>
      </c>
      <c r="G98" s="96" t="str">
        <f t="shared" si="9"/>
        <v/>
      </c>
      <c r="H98" s="96" t="str">
        <f t="shared" si="16"/>
        <v/>
      </c>
      <c r="J98" s="58" t="str">
        <f>IF(ISBLANK(I98), "", Inspection_Regulation_French_Text)</f>
        <v/>
      </c>
      <c r="K98" s="60"/>
      <c r="L98" s="58"/>
    </row>
    <row r="99" spans="1:12" x14ac:dyDescent="0.3">
      <c r="A99" s="58" t="str">
        <f t="shared" si="8"/>
        <v/>
      </c>
      <c r="B99" s="58" t="str">
        <f t="shared" si="17"/>
        <v/>
      </c>
      <c r="C99" s="58" t="str">
        <f t="shared" si="18"/>
        <v/>
      </c>
      <c r="D99" s="80" t="str">
        <f t="shared" si="12"/>
        <v/>
      </c>
      <c r="E99" s="59" t="str">
        <f t="shared" si="19"/>
        <v/>
      </c>
      <c r="F99" s="59" t="str">
        <f t="shared" si="20"/>
        <v/>
      </c>
      <c r="G99" s="96" t="str">
        <f t="shared" si="9"/>
        <v/>
      </c>
      <c r="H99" s="96" t="str">
        <f t="shared" si="16"/>
        <v/>
      </c>
      <c r="J99" s="58" t="str">
        <f>IF(ISBLANK(I99), "", Inspection_Regulation_French_Text)</f>
        <v/>
      </c>
      <c r="K99" s="60"/>
      <c r="L99" s="58"/>
    </row>
    <row r="100" spans="1:12" x14ac:dyDescent="0.3">
      <c r="A100" s="58" t="str">
        <f t="shared" si="8"/>
        <v/>
      </c>
      <c r="B100" s="58" t="str">
        <f t="shared" si="17"/>
        <v/>
      </c>
      <c r="C100" s="58" t="str">
        <f t="shared" si="18"/>
        <v/>
      </c>
      <c r="D100" s="80" t="str">
        <f t="shared" si="12"/>
        <v/>
      </c>
      <c r="E100" s="59" t="str">
        <f t="shared" si="19"/>
        <v/>
      </c>
      <c r="F100" s="59" t="str">
        <f t="shared" si="20"/>
        <v/>
      </c>
      <c r="G100" s="96" t="str">
        <f t="shared" si="9"/>
        <v/>
      </c>
      <c r="H100" s="96" t="str">
        <f t="shared" si="16"/>
        <v/>
      </c>
      <c r="J100" s="58" t="str">
        <f>IF(ISBLANK(I100), "", Inspection_Regulation_French_Text)</f>
        <v/>
      </c>
      <c r="K100" s="60"/>
      <c r="L100" s="58"/>
    </row>
  </sheetData>
  <sheetProtection password="EB8B" sheet="1" objects="1" scenarios="1"/>
  <dataConsolidate/>
  <dataValidations count="4">
    <dataValidation type="list" allowBlank="1" showInputMessage="1" showErrorMessage="1" sqref="I89:I1048576 I2:I36">
      <formula1>Inspection_Regulation_English_Choices</formula1>
    </dataValidation>
    <dataValidation type="list" allowBlank="1" showInputMessage="1" showErrorMessage="1" sqref="M2">
      <formula1>IF(ISBLANK(K2), "", Deficiency_French_Text)</formula1>
    </dataValidation>
    <dataValidation operator="greaterThanOrEqual" allowBlank="1" showInputMessage="1" showErrorMessage="1" sqref="M1:XFD1 F1 I1"/>
    <dataValidation type="list" allowBlank="1" showInputMessage="1" showErrorMessage="1" sqref="K2:K90">
      <formula1>Deficiency_English_List</formula1>
    </dataValidation>
  </dataValidations>
  <pageMargins left="0.7" right="0.7" top="0.75" bottom="0.75" header="0.3" footer="0.3"/>
  <pageSetup orientation="portrait" horizontalDpi="90" verticalDpi="90" r:id="rId1"/>
  <ignoredErrors>
    <ignoredError sqref="E3 E4:E32" 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14:formula1>
            <xm:f>Variables!$EU$2:$EU$12</xm:f>
          </x14:formula1>
          <xm:sqref>I37:I88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A197"/>
  <sheetViews>
    <sheetView topLeftCell="EO136" zoomScaleNormal="100" workbookViewId="0">
      <selection activeCell="EP151" sqref="EP151"/>
    </sheetView>
  </sheetViews>
  <sheetFormatPr defaultColWidth="8.5546875" defaultRowHeight="29.25" customHeight="1" x14ac:dyDescent="0.3"/>
  <cols>
    <col min="1" max="105" width="8.5546875" style="33"/>
    <col min="106" max="106" width="13.109375" style="33" customWidth="1"/>
    <col min="107" max="109" width="8.5546875" style="36"/>
    <col min="110" max="111" width="8.5546875" style="33"/>
    <col min="112" max="119" width="8.5546875" style="35"/>
    <col min="120" max="143" width="8.5546875" style="33"/>
    <col min="144" max="144" width="56.6640625" style="33" customWidth="1"/>
    <col min="145" max="145" width="122.88671875" customWidth="1"/>
    <col min="146" max="146" width="44.33203125" customWidth="1"/>
    <col min="147" max="159" width="21.33203125" style="33" customWidth="1"/>
    <col min="160" max="162" width="8.5546875" style="33"/>
    <col min="163" max="163" width="11.109375" style="33" customWidth="1"/>
    <col min="164" max="164" width="20.88671875" style="33" customWidth="1"/>
    <col min="165" max="165" width="24.44140625" style="33" customWidth="1"/>
    <col min="166" max="175" width="8.5546875" style="33"/>
    <col min="176" max="176" width="30.5546875" style="33" customWidth="1"/>
    <col min="177" max="177" width="34.5546875" style="33" customWidth="1"/>
    <col min="178" max="178" width="43.44140625" style="33" customWidth="1"/>
    <col min="179" max="179" width="37.88671875" style="33" customWidth="1"/>
    <col min="180" max="180" width="46" style="33" customWidth="1"/>
    <col min="181" max="181" width="54" style="33" customWidth="1"/>
    <col min="182" max="182" width="23.33203125" style="33" customWidth="1"/>
    <col min="183" max="183" width="36.6640625" style="33" bestFit="1" customWidth="1"/>
    <col min="184" max="16384" width="8.5546875" style="33"/>
  </cols>
  <sheetData>
    <row r="1" spans="1:183" s="30" customFormat="1" ht="29.25" customHeight="1" x14ac:dyDescent="0.2">
      <c r="A1" s="37" t="s">
        <v>0</v>
      </c>
      <c r="B1" s="37" t="s">
        <v>1</v>
      </c>
      <c r="C1" s="37" t="s">
        <v>127</v>
      </c>
      <c r="D1" s="37" t="s">
        <v>131</v>
      </c>
      <c r="E1" s="37" t="s">
        <v>130</v>
      </c>
      <c r="F1" s="37" t="s">
        <v>2</v>
      </c>
      <c r="G1" s="37" t="s">
        <v>138</v>
      </c>
      <c r="H1" s="37" t="s">
        <v>137</v>
      </c>
      <c r="I1" s="37" t="s">
        <v>3</v>
      </c>
      <c r="J1" s="37" t="s">
        <v>4</v>
      </c>
      <c r="K1" s="37" t="s">
        <v>5</v>
      </c>
      <c r="L1" s="38" t="s">
        <v>147</v>
      </c>
      <c r="M1" s="1" t="s">
        <v>797</v>
      </c>
      <c r="N1" s="1" t="s">
        <v>798</v>
      </c>
      <c r="O1" s="1" t="s">
        <v>799</v>
      </c>
      <c r="P1" s="1" t="s">
        <v>386</v>
      </c>
      <c r="Q1" s="1" t="s">
        <v>387</v>
      </c>
      <c r="R1" s="1" t="s">
        <v>801</v>
      </c>
      <c r="S1" s="1" t="s">
        <v>802</v>
      </c>
      <c r="T1" s="1" t="s">
        <v>803</v>
      </c>
      <c r="U1" s="1" t="s">
        <v>804</v>
      </c>
      <c r="V1" s="1" t="s">
        <v>805</v>
      </c>
      <c r="W1" s="1" t="s">
        <v>806</v>
      </c>
      <c r="X1" s="1" t="s">
        <v>807</v>
      </c>
      <c r="Y1" s="1" t="s">
        <v>810</v>
      </c>
      <c r="Z1" s="1" t="s">
        <v>815</v>
      </c>
      <c r="AA1" s="1" t="s">
        <v>816</v>
      </c>
      <c r="AB1" s="1" t="s">
        <v>817</v>
      </c>
      <c r="AC1" s="1" t="s">
        <v>818</v>
      </c>
      <c r="AD1" s="1" t="s">
        <v>819</v>
      </c>
      <c r="AE1" s="1" t="s">
        <v>820</v>
      </c>
      <c r="AF1" s="1" t="s">
        <v>821</v>
      </c>
      <c r="AG1" s="1" t="s">
        <v>822</v>
      </c>
      <c r="AH1" s="1" t="s">
        <v>823</v>
      </c>
      <c r="AI1" s="1" t="s">
        <v>824</v>
      </c>
      <c r="AJ1" s="1" t="s">
        <v>825</v>
      </c>
      <c r="AK1" s="1" t="s">
        <v>377</v>
      </c>
      <c r="AL1" s="1" t="s">
        <v>826</v>
      </c>
      <c r="AM1" s="1" t="s">
        <v>827</v>
      </c>
      <c r="AN1" s="1" t="s">
        <v>828</v>
      </c>
      <c r="AO1" s="1" t="s">
        <v>829</v>
      </c>
      <c r="AP1" s="1" t="s">
        <v>830</v>
      </c>
      <c r="AQ1" s="1" t="s">
        <v>831</v>
      </c>
      <c r="AR1" s="1" t="s">
        <v>378</v>
      </c>
      <c r="AS1" s="1" t="s">
        <v>833</v>
      </c>
      <c r="AT1" s="1" t="s">
        <v>834</v>
      </c>
      <c r="AU1" s="1" t="s">
        <v>835</v>
      </c>
      <c r="AV1" s="1" t="s">
        <v>836</v>
      </c>
      <c r="AW1" s="1" t="s">
        <v>837</v>
      </c>
      <c r="AX1" s="1" t="s">
        <v>838</v>
      </c>
      <c r="AY1" s="1" t="s">
        <v>839</v>
      </c>
      <c r="AZ1" s="1" t="s">
        <v>379</v>
      </c>
      <c r="BA1" s="1" t="s">
        <v>840</v>
      </c>
      <c r="BB1" s="39" t="s">
        <v>841</v>
      </c>
      <c r="BC1" s="39" t="s">
        <v>842</v>
      </c>
      <c r="BD1" s="39" t="s">
        <v>843</v>
      </c>
      <c r="BE1" s="39" t="s">
        <v>380</v>
      </c>
      <c r="BF1" s="39" t="s">
        <v>844</v>
      </c>
      <c r="BG1" s="39" t="s">
        <v>845</v>
      </c>
      <c r="BH1" s="39" t="s">
        <v>846</v>
      </c>
      <c r="BI1" s="39" t="s">
        <v>847</v>
      </c>
      <c r="BJ1" s="39" t="s">
        <v>848</v>
      </c>
      <c r="BK1" s="39" t="s">
        <v>849</v>
      </c>
      <c r="BL1" s="39" t="s">
        <v>850</v>
      </c>
      <c r="BM1" s="39" t="s">
        <v>851</v>
      </c>
      <c r="BN1" s="39" t="s">
        <v>852</v>
      </c>
      <c r="BO1" s="39" t="s">
        <v>381</v>
      </c>
      <c r="BP1" s="39" t="s">
        <v>382</v>
      </c>
      <c r="BQ1" s="39" t="s">
        <v>383</v>
      </c>
      <c r="BR1" s="39" t="s">
        <v>384</v>
      </c>
      <c r="BS1" s="39" t="s">
        <v>385</v>
      </c>
      <c r="BT1" s="39" t="s">
        <v>854</v>
      </c>
      <c r="BU1" s="39" t="s">
        <v>855</v>
      </c>
      <c r="BV1" s="39" t="s">
        <v>856</v>
      </c>
      <c r="BW1" s="39" t="s">
        <v>857</v>
      </c>
      <c r="BX1" s="39" t="s">
        <v>858</v>
      </c>
      <c r="BY1" s="39" t="s">
        <v>859</v>
      </c>
      <c r="BZ1" s="39" t="s">
        <v>6</v>
      </c>
      <c r="CA1" s="39" t="s">
        <v>390</v>
      </c>
      <c r="CB1" s="39" t="s">
        <v>860</v>
      </c>
      <c r="CC1" s="39" t="s">
        <v>861</v>
      </c>
      <c r="CD1" s="39" t="s">
        <v>862</v>
      </c>
      <c r="CE1" s="39" t="s">
        <v>863</v>
      </c>
      <c r="CF1" s="39" t="s">
        <v>864</v>
      </c>
      <c r="CG1" s="39" t="s">
        <v>865</v>
      </c>
      <c r="CH1" s="39" t="s">
        <v>866</v>
      </c>
      <c r="CI1" s="39" t="s">
        <v>867</v>
      </c>
      <c r="CJ1" s="39" t="s">
        <v>868</v>
      </c>
      <c r="CK1" s="39" t="s">
        <v>869</v>
      </c>
      <c r="CL1" s="39" t="s">
        <v>870</v>
      </c>
      <c r="CM1" s="39" t="s">
        <v>871</v>
      </c>
      <c r="CN1" s="39" t="s">
        <v>872</v>
      </c>
      <c r="CO1" s="39" t="s">
        <v>873</v>
      </c>
      <c r="CP1" s="39" t="s">
        <v>874</v>
      </c>
      <c r="CQ1" s="39" t="s">
        <v>875</v>
      </c>
      <c r="CR1" s="39" t="s">
        <v>876</v>
      </c>
      <c r="CS1" s="39" t="s">
        <v>877</v>
      </c>
      <c r="CT1" s="39" t="s">
        <v>878</v>
      </c>
      <c r="CU1" s="39" t="s">
        <v>879</v>
      </c>
      <c r="CV1" s="39" t="s">
        <v>880</v>
      </c>
      <c r="CW1" s="39" t="s">
        <v>881</v>
      </c>
      <c r="CX1" s="39" t="s">
        <v>882</v>
      </c>
      <c r="CY1" s="39" t="s">
        <v>883</v>
      </c>
      <c r="CZ1" s="39" t="s">
        <v>884</v>
      </c>
      <c r="DA1" s="39" t="s">
        <v>885</v>
      </c>
      <c r="DB1" s="39" t="s">
        <v>886</v>
      </c>
      <c r="DC1" s="39" t="s">
        <v>887</v>
      </c>
      <c r="DD1" s="39" t="s">
        <v>888</v>
      </c>
      <c r="DE1" s="39" t="s">
        <v>889</v>
      </c>
      <c r="DF1" s="39" t="s">
        <v>890</v>
      </c>
      <c r="DG1" s="39" t="s">
        <v>891</v>
      </c>
      <c r="DH1" s="39" t="s">
        <v>892</v>
      </c>
      <c r="DI1" s="39" t="s">
        <v>893</v>
      </c>
      <c r="DJ1" s="39" t="s">
        <v>894</v>
      </c>
      <c r="DK1" s="39" t="s">
        <v>895</v>
      </c>
      <c r="DL1" s="39" t="s">
        <v>896</v>
      </c>
      <c r="DM1" s="39" t="s">
        <v>897</v>
      </c>
      <c r="DN1" s="39" t="s">
        <v>898</v>
      </c>
      <c r="DO1" s="39" t="s">
        <v>899</v>
      </c>
      <c r="DP1" s="39" t="s">
        <v>900</v>
      </c>
      <c r="DQ1" s="39" t="s">
        <v>901</v>
      </c>
      <c r="DR1" s="39" t="s">
        <v>902</v>
      </c>
      <c r="DS1" s="39" t="s">
        <v>903</v>
      </c>
      <c r="DT1" s="39" t="s">
        <v>904</v>
      </c>
      <c r="DU1" s="39" t="s">
        <v>905</v>
      </c>
      <c r="DV1" s="39" t="s">
        <v>906</v>
      </c>
      <c r="DW1" s="39" t="s">
        <v>907</v>
      </c>
      <c r="DX1" s="39" t="s">
        <v>908</v>
      </c>
      <c r="DY1" s="39" t="s">
        <v>909</v>
      </c>
      <c r="DZ1" s="39" t="s">
        <v>910</v>
      </c>
      <c r="EA1" s="39" t="s">
        <v>911</v>
      </c>
      <c r="EB1" s="39" t="s">
        <v>912</v>
      </c>
      <c r="EC1" s="39" t="s">
        <v>852</v>
      </c>
      <c r="ED1" s="39" t="s">
        <v>913</v>
      </c>
      <c r="EE1" s="39" t="s">
        <v>914</v>
      </c>
      <c r="EF1" s="39" t="s">
        <v>915</v>
      </c>
      <c r="EG1" s="39" t="s">
        <v>916</v>
      </c>
      <c r="EH1" s="39" t="s">
        <v>917</v>
      </c>
      <c r="EI1" s="39" t="s">
        <v>918</v>
      </c>
      <c r="EJ1" s="39" t="s">
        <v>919</v>
      </c>
      <c r="EK1" s="39" t="s">
        <v>920</v>
      </c>
      <c r="EL1" s="39" t="s">
        <v>921</v>
      </c>
      <c r="EM1" s="39" t="s">
        <v>922</v>
      </c>
      <c r="EN1" s="39" t="s">
        <v>923</v>
      </c>
      <c r="EO1" s="41" t="s">
        <v>7</v>
      </c>
      <c r="EP1" s="41" t="s">
        <v>8</v>
      </c>
      <c r="EQ1" s="41" t="s">
        <v>1068</v>
      </c>
      <c r="ER1" s="37" t="s">
        <v>1069</v>
      </c>
      <c r="ES1" s="37"/>
      <c r="ET1" s="37"/>
      <c r="EU1" s="38" t="s">
        <v>1004</v>
      </c>
      <c r="EV1" s="40" t="s">
        <v>1003</v>
      </c>
      <c r="EW1" s="40" t="s">
        <v>147</v>
      </c>
      <c r="EX1" s="40" t="s">
        <v>1044</v>
      </c>
      <c r="EY1" s="40" t="s">
        <v>1045</v>
      </c>
      <c r="EZ1" s="40" t="s">
        <v>1046</v>
      </c>
      <c r="FA1" s="40" t="s">
        <v>1050</v>
      </c>
      <c r="FB1" s="40" t="s">
        <v>1051</v>
      </c>
      <c r="FC1" s="40" t="s">
        <v>1052</v>
      </c>
      <c r="FD1" s="40" t="s">
        <v>1047</v>
      </c>
      <c r="FE1" s="40" t="s">
        <v>1053</v>
      </c>
      <c r="FF1" s="40" t="s">
        <v>1048</v>
      </c>
      <c r="FG1" s="40" t="s">
        <v>1049</v>
      </c>
      <c r="FH1" s="40" t="s">
        <v>1003</v>
      </c>
      <c r="FI1" s="40" t="s">
        <v>390</v>
      </c>
      <c r="FJ1" s="40" t="s">
        <v>1054</v>
      </c>
      <c r="FK1" s="40" t="s">
        <v>1055</v>
      </c>
      <c r="FL1" s="40" t="s">
        <v>1056</v>
      </c>
      <c r="FM1" s="40" t="s">
        <v>1057</v>
      </c>
      <c r="FN1" s="40" t="s">
        <v>1058</v>
      </c>
      <c r="FO1" s="40" t="s">
        <v>1059</v>
      </c>
      <c r="FP1" s="40" t="s">
        <v>1060</v>
      </c>
      <c r="FQ1" s="40" t="s">
        <v>1061</v>
      </c>
      <c r="FR1" s="40" t="s">
        <v>1062</v>
      </c>
      <c r="FS1" s="40" t="s">
        <v>1063</v>
      </c>
      <c r="FT1" s="40" t="s">
        <v>133</v>
      </c>
      <c r="FU1" s="40" t="s">
        <v>134</v>
      </c>
      <c r="FV1" s="49" t="s">
        <v>9</v>
      </c>
      <c r="FW1" s="50" t="s">
        <v>14</v>
      </c>
      <c r="FX1" s="50" t="s">
        <v>10</v>
      </c>
      <c r="FY1" s="50" t="s">
        <v>11</v>
      </c>
      <c r="FZ1" s="40" t="s">
        <v>937</v>
      </c>
      <c r="GA1" s="40" t="s">
        <v>796</v>
      </c>
    </row>
    <row r="2" spans="1:183" ht="70.5" customHeight="1" x14ac:dyDescent="0.3">
      <c r="A2" s="2">
        <v>67847</v>
      </c>
      <c r="B2" s="31"/>
      <c r="C2" s="31" t="s">
        <v>1208</v>
      </c>
      <c r="D2" s="3" t="s">
        <v>143</v>
      </c>
      <c r="E2" s="3" t="s">
        <v>146</v>
      </c>
      <c r="F2" s="4" t="s">
        <v>77</v>
      </c>
      <c r="G2" s="97" t="s">
        <v>12</v>
      </c>
      <c r="H2" s="97" t="s">
        <v>12</v>
      </c>
      <c r="I2" s="31"/>
      <c r="J2" s="31"/>
      <c r="K2" s="32" t="s">
        <v>147</v>
      </c>
      <c r="L2" s="32" t="s">
        <v>376</v>
      </c>
      <c r="M2" s="32" t="s">
        <v>1138</v>
      </c>
      <c r="N2" s="32" t="s">
        <v>152</v>
      </c>
      <c r="O2" s="32" t="s">
        <v>153</v>
      </c>
      <c r="P2" s="32" t="s">
        <v>154</v>
      </c>
      <c r="Q2" s="32" t="s">
        <v>800</v>
      </c>
      <c r="R2" s="32" t="s">
        <v>157</v>
      </c>
      <c r="S2" s="32" t="s">
        <v>158</v>
      </c>
      <c r="T2" s="32" t="s">
        <v>159</v>
      </c>
      <c r="U2" s="32" t="s">
        <v>166</v>
      </c>
      <c r="V2" s="32" t="s">
        <v>1135</v>
      </c>
      <c r="W2" s="32" t="s">
        <v>1172</v>
      </c>
      <c r="X2" s="32" t="s">
        <v>173</v>
      </c>
      <c r="Y2" s="32" t="s">
        <v>181</v>
      </c>
      <c r="Z2" s="32" t="s">
        <v>186</v>
      </c>
      <c r="AA2" s="32" t="s">
        <v>1139</v>
      </c>
      <c r="AB2" s="32" t="s">
        <v>189</v>
      </c>
      <c r="AC2" s="32" t="s">
        <v>190</v>
      </c>
      <c r="AD2" s="32" t="s">
        <v>191</v>
      </c>
      <c r="AE2" s="32" t="s">
        <v>1181</v>
      </c>
      <c r="AF2" s="32" t="s">
        <v>193</v>
      </c>
      <c r="AG2" s="32" t="s">
        <v>196</v>
      </c>
      <c r="AH2" s="32" t="s">
        <v>197</v>
      </c>
      <c r="AI2" s="32" t="s">
        <v>1140</v>
      </c>
      <c r="AJ2" s="32" t="s">
        <v>198</v>
      </c>
      <c r="AK2" s="32" t="s">
        <v>1141</v>
      </c>
      <c r="AL2" s="32" t="s">
        <v>203</v>
      </c>
      <c r="AM2" s="32" t="s">
        <v>205</v>
      </c>
      <c r="AN2" s="32" t="s">
        <v>1182</v>
      </c>
      <c r="AO2" s="32" t="s">
        <v>207</v>
      </c>
      <c r="AP2" s="32" t="s">
        <v>1183</v>
      </c>
      <c r="AQ2" s="32" t="s">
        <v>209</v>
      </c>
      <c r="AR2" s="32" t="s">
        <v>832</v>
      </c>
      <c r="AS2" s="32" t="s">
        <v>1184</v>
      </c>
      <c r="AT2" s="32" t="s">
        <v>1185</v>
      </c>
      <c r="AU2" s="32" t="s">
        <v>218</v>
      </c>
      <c r="AV2" s="32" t="s">
        <v>219</v>
      </c>
      <c r="AW2" s="32" t="s">
        <v>221</v>
      </c>
      <c r="AX2" s="32" t="s">
        <v>225</v>
      </c>
      <c r="AY2" s="32" t="s">
        <v>227</v>
      </c>
      <c r="AZ2" s="32" t="s">
        <v>1142</v>
      </c>
      <c r="BA2" s="32" t="s">
        <v>229</v>
      </c>
      <c r="BB2" s="32" t="s">
        <v>235</v>
      </c>
      <c r="BC2" s="32" t="s">
        <v>235</v>
      </c>
      <c r="BD2" s="32" t="s">
        <v>237</v>
      </c>
      <c r="BE2" s="4" t="s">
        <v>1227</v>
      </c>
      <c r="BF2" s="32" t="s">
        <v>242</v>
      </c>
      <c r="BG2" s="32" t="s">
        <v>244</v>
      </c>
      <c r="BH2" s="32" t="s">
        <v>246</v>
      </c>
      <c r="BI2" s="32" t="s">
        <v>1143</v>
      </c>
      <c r="BJ2" s="32" t="s">
        <v>247</v>
      </c>
      <c r="BK2" s="32" t="s">
        <v>248</v>
      </c>
      <c r="BL2" s="32" t="s">
        <v>249</v>
      </c>
      <c r="BM2" s="32" t="s">
        <v>250</v>
      </c>
      <c r="BN2" s="32" t="s">
        <v>252</v>
      </c>
      <c r="BO2" s="32" t="s">
        <v>254</v>
      </c>
      <c r="BP2" s="32" t="s">
        <v>257</v>
      </c>
      <c r="BQ2" s="32" t="s">
        <v>261</v>
      </c>
      <c r="BR2" s="32" t="s">
        <v>262</v>
      </c>
      <c r="BS2" s="32" t="s">
        <v>264</v>
      </c>
      <c r="BT2" s="32" t="s">
        <v>265</v>
      </c>
      <c r="BU2" s="32" t="s">
        <v>266</v>
      </c>
      <c r="BV2" s="32" t="s">
        <v>268</v>
      </c>
      <c r="BW2" s="32" t="s">
        <v>1144</v>
      </c>
      <c r="BX2" s="32" t="s">
        <v>1132</v>
      </c>
      <c r="BY2" s="32" t="s">
        <v>274</v>
      </c>
      <c r="BZ2" s="32" t="s">
        <v>390</v>
      </c>
      <c r="CA2" s="32" t="s">
        <v>1207</v>
      </c>
      <c r="CB2" s="32" t="s">
        <v>393</v>
      </c>
      <c r="CC2" s="32" t="s">
        <v>401</v>
      </c>
      <c r="CD2" s="32" t="s">
        <v>924</v>
      </c>
      <c r="CE2" s="32" t="s">
        <v>925</v>
      </c>
      <c r="CF2" s="32" t="s">
        <v>926</v>
      </c>
      <c r="CG2" s="32" t="s">
        <v>418</v>
      </c>
      <c r="CH2" s="32" t="s">
        <v>421</v>
      </c>
      <c r="CI2" s="32" t="s">
        <v>424</v>
      </c>
      <c r="CJ2" s="32" t="s">
        <v>445</v>
      </c>
      <c r="CK2" s="32" t="s">
        <v>449</v>
      </c>
      <c r="CL2" s="32" t="s">
        <v>457</v>
      </c>
      <c r="CM2" s="32" t="s">
        <v>460</v>
      </c>
      <c r="CN2" s="32" t="s">
        <v>490</v>
      </c>
      <c r="CO2" s="32" t="s">
        <v>526</v>
      </c>
      <c r="CP2" s="32" t="s">
        <v>529</v>
      </c>
      <c r="CQ2" s="32" t="s">
        <v>535</v>
      </c>
      <c r="CR2" s="32" t="s">
        <v>538</v>
      </c>
      <c r="CS2" s="32" t="s">
        <v>541</v>
      </c>
      <c r="CT2" s="32" t="s">
        <v>544</v>
      </c>
      <c r="CU2" s="32" t="s">
        <v>547</v>
      </c>
      <c r="CV2" t="s">
        <v>554</v>
      </c>
      <c r="CW2" s="32" t="s">
        <v>557</v>
      </c>
      <c r="CX2" s="32" t="s">
        <v>561</v>
      </c>
      <c r="CY2" s="32" t="s">
        <v>564</v>
      </c>
      <c r="CZ2" s="32" t="s">
        <v>576</v>
      </c>
      <c r="DA2" s="32" t="s">
        <v>579</v>
      </c>
      <c r="DB2" s="32" t="s">
        <v>583</v>
      </c>
      <c r="DC2" s="32" t="s">
        <v>586</v>
      </c>
      <c r="DD2" s="32" t="s">
        <v>589</v>
      </c>
      <c r="DE2" s="32" t="s">
        <v>592</v>
      </c>
      <c r="DF2" s="32" t="s">
        <v>595</v>
      </c>
      <c r="DG2" s="32" t="s">
        <v>601</v>
      </c>
      <c r="DH2" s="32" t="s">
        <v>604</v>
      </c>
      <c r="DI2" s="32" t="s">
        <v>616</v>
      </c>
      <c r="DJ2" t="s">
        <v>622</v>
      </c>
      <c r="DK2" s="32" t="s">
        <v>625</v>
      </c>
      <c r="DL2" s="32" t="s">
        <v>932</v>
      </c>
      <c r="DM2" s="32" t="s">
        <v>933</v>
      </c>
      <c r="DN2" s="32" t="s">
        <v>648</v>
      </c>
      <c r="DO2" s="32" t="s">
        <v>653</v>
      </c>
      <c r="DP2" s="32" t="s">
        <v>657</v>
      </c>
      <c r="DQ2" s="32" t="s">
        <v>673</v>
      </c>
      <c r="DR2" s="32" t="s">
        <v>679</v>
      </c>
      <c r="DS2" s="32" t="s">
        <v>685</v>
      </c>
      <c r="DT2" s="4" t="s">
        <v>1228</v>
      </c>
      <c r="DU2" s="32" t="s">
        <v>698</v>
      </c>
      <c r="DV2" s="32" t="s">
        <v>1198</v>
      </c>
      <c r="DW2" s="32" t="s">
        <v>708</v>
      </c>
      <c r="DX2" s="32" t="s">
        <v>1190</v>
      </c>
      <c r="DY2" s="32" t="s">
        <v>715</v>
      </c>
      <c r="DZ2" s="32" t="s">
        <v>1197</v>
      </c>
      <c r="EA2" s="32" t="s">
        <v>721</v>
      </c>
      <c r="EB2" s="32" t="s">
        <v>1200</v>
      </c>
      <c r="EC2" s="32" t="s">
        <v>728</v>
      </c>
      <c r="ED2" s="32" t="s">
        <v>736</v>
      </c>
      <c r="EE2" s="32" t="s">
        <v>743</v>
      </c>
      <c r="EF2" s="32" t="s">
        <v>749</v>
      </c>
      <c r="EG2" s="32" t="s">
        <v>752</v>
      </c>
      <c r="EH2" s="32" t="s">
        <v>757</v>
      </c>
      <c r="EI2" s="32" t="s">
        <v>760</v>
      </c>
      <c r="EJ2" s="32" t="s">
        <v>763</v>
      </c>
      <c r="EK2" s="32" t="s">
        <v>768</v>
      </c>
      <c r="EL2" s="32" t="s">
        <v>777</v>
      </c>
      <c r="EM2" s="32" t="s">
        <v>784</v>
      </c>
      <c r="EN2" s="32" t="s">
        <v>788</v>
      </c>
      <c r="EO2" t="s">
        <v>193</v>
      </c>
      <c r="EP2" t="s">
        <v>547</v>
      </c>
      <c r="EQ2" s="95" t="s">
        <v>1218</v>
      </c>
      <c r="ER2" s="95" t="s">
        <v>1218</v>
      </c>
      <c r="EU2" s="32" t="s">
        <v>147</v>
      </c>
      <c r="EV2" s="32" t="s">
        <v>390</v>
      </c>
      <c r="EW2" s="32" t="s">
        <v>376</v>
      </c>
      <c r="EX2" s="32" t="s">
        <v>1002</v>
      </c>
      <c r="EY2" s="32" t="s">
        <v>944</v>
      </c>
      <c r="EZ2" s="32" t="s">
        <v>952</v>
      </c>
      <c r="FA2" s="32" t="s">
        <v>956</v>
      </c>
      <c r="FB2" s="32" t="s">
        <v>970</v>
      </c>
      <c r="FC2" s="32" t="s">
        <v>974</v>
      </c>
      <c r="FD2" s="32" t="s">
        <v>1145</v>
      </c>
      <c r="FE2" s="32" t="s">
        <v>985</v>
      </c>
      <c r="FF2" s="32" t="s">
        <v>1146</v>
      </c>
      <c r="FG2" s="32" t="s">
        <v>997</v>
      </c>
      <c r="FH2" s="32" t="s">
        <v>390</v>
      </c>
      <c r="FI2" s="32" t="s">
        <v>1207</v>
      </c>
      <c r="FJ2" s="32" t="s">
        <v>1147</v>
      </c>
      <c r="FK2" s="32" t="s">
        <v>945</v>
      </c>
      <c r="FL2" s="32" t="s">
        <v>953</v>
      </c>
      <c r="FM2" s="32" t="s">
        <v>1148</v>
      </c>
      <c r="FN2" s="32" t="s">
        <v>971</v>
      </c>
      <c r="FO2" s="32" t="s">
        <v>975</v>
      </c>
      <c r="FP2" s="32" t="s">
        <v>979</v>
      </c>
      <c r="FQ2" s="32" t="s">
        <v>986</v>
      </c>
      <c r="FR2" s="32" t="s">
        <v>990</v>
      </c>
      <c r="FS2" s="32" t="s">
        <v>998</v>
      </c>
      <c r="FT2" s="32" t="s">
        <v>376</v>
      </c>
      <c r="FU2" s="32" t="s">
        <v>1207</v>
      </c>
      <c r="FV2" s="32" t="s">
        <v>1187</v>
      </c>
      <c r="FW2" s="32" t="s">
        <v>1191</v>
      </c>
      <c r="FX2" s="32" t="s">
        <v>1005</v>
      </c>
      <c r="FY2" s="51" t="s">
        <v>1019</v>
      </c>
      <c r="FZ2" s="51" t="s">
        <v>1038</v>
      </c>
      <c r="GA2" s="51" t="s">
        <v>1041</v>
      </c>
    </row>
    <row r="3" spans="1:183" ht="111" customHeight="1" x14ac:dyDescent="0.3">
      <c r="A3" s="2">
        <v>70412</v>
      </c>
      <c r="B3" s="31"/>
      <c r="C3" s="31" t="s">
        <v>1209</v>
      </c>
      <c r="D3" s="3" t="s">
        <v>144</v>
      </c>
      <c r="E3" s="3" t="s">
        <v>1194</v>
      </c>
      <c r="F3" s="4" t="s">
        <v>33</v>
      </c>
      <c r="G3" s="97" t="s">
        <v>13</v>
      </c>
      <c r="H3" s="97" t="s">
        <v>13</v>
      </c>
      <c r="I3" s="31"/>
      <c r="J3" s="31"/>
      <c r="K3" s="32" t="s">
        <v>797</v>
      </c>
      <c r="L3" s="32"/>
      <c r="M3" s="32" t="s">
        <v>149</v>
      </c>
      <c r="N3" s="32"/>
      <c r="O3" s="32" t="s">
        <v>1180</v>
      </c>
      <c r="P3" s="32"/>
      <c r="Q3" s="32" t="s">
        <v>156</v>
      </c>
      <c r="R3" s="32"/>
      <c r="S3" s="32"/>
      <c r="T3" s="32" t="s">
        <v>1149</v>
      </c>
      <c r="U3" s="32" t="s">
        <v>1150</v>
      </c>
      <c r="V3" s="32" t="s">
        <v>169</v>
      </c>
      <c r="W3" s="32"/>
      <c r="X3" s="32" t="s">
        <v>174</v>
      </c>
      <c r="Y3" s="32" t="s">
        <v>1170</v>
      </c>
      <c r="Z3" s="32"/>
      <c r="AA3" s="32" t="s">
        <v>1151</v>
      </c>
      <c r="AB3" s="32"/>
      <c r="AC3" s="32"/>
      <c r="AD3" s="32"/>
      <c r="AE3" s="32"/>
      <c r="AF3" s="32" t="s">
        <v>194</v>
      </c>
      <c r="AG3" s="32"/>
      <c r="AH3" s="32"/>
      <c r="AI3" s="32"/>
      <c r="AJ3" s="32" t="s">
        <v>199</v>
      </c>
      <c r="AK3" s="32"/>
      <c r="AL3" s="32" t="s">
        <v>204</v>
      </c>
      <c r="AM3" s="32"/>
      <c r="AN3" s="32"/>
      <c r="AO3" s="32"/>
      <c r="AP3" s="32"/>
      <c r="AQ3" s="32" t="s">
        <v>210</v>
      </c>
      <c r="AR3" s="32"/>
      <c r="AS3" s="32" t="s">
        <v>213</v>
      </c>
      <c r="AT3" s="32" t="s">
        <v>217</v>
      </c>
      <c r="AU3" s="32"/>
      <c r="AV3" s="32" t="s">
        <v>220</v>
      </c>
      <c r="AW3" s="32" t="s">
        <v>222</v>
      </c>
      <c r="AX3" s="32" t="s">
        <v>226</v>
      </c>
      <c r="AY3" s="32" t="s">
        <v>228</v>
      </c>
      <c r="AZ3" s="32"/>
      <c r="BA3" s="32" t="s">
        <v>230</v>
      </c>
      <c r="BB3" s="32" t="s">
        <v>236</v>
      </c>
      <c r="BC3" s="32" t="s">
        <v>236</v>
      </c>
      <c r="BD3" s="32" t="s">
        <v>238</v>
      </c>
      <c r="BE3" s="32" t="s">
        <v>241</v>
      </c>
      <c r="BF3" s="32" t="s">
        <v>243</v>
      </c>
      <c r="BG3" s="32" t="s">
        <v>245</v>
      </c>
      <c r="BH3" s="32"/>
      <c r="BI3" s="32"/>
      <c r="BJ3" s="32"/>
      <c r="BK3" s="32"/>
      <c r="BL3" s="32"/>
      <c r="BM3" s="32" t="s">
        <v>251</v>
      </c>
      <c r="BN3" s="32" t="s">
        <v>853</v>
      </c>
      <c r="BO3" s="32" t="s">
        <v>1203</v>
      </c>
      <c r="BP3" s="32" t="s">
        <v>258</v>
      </c>
      <c r="BQ3" s="32"/>
      <c r="BR3" s="32" t="s">
        <v>263</v>
      </c>
      <c r="BS3" s="32"/>
      <c r="BT3" s="32"/>
      <c r="BU3" s="32" t="s">
        <v>267</v>
      </c>
      <c r="BV3" s="32" t="s">
        <v>269</v>
      </c>
      <c r="BW3" s="32" t="s">
        <v>272</v>
      </c>
      <c r="BX3" s="32"/>
      <c r="BY3" s="32" t="s">
        <v>275</v>
      </c>
      <c r="BZ3" s="32" t="s">
        <v>860</v>
      </c>
      <c r="CA3" s="32"/>
      <c r="CB3" s="32" t="s">
        <v>394</v>
      </c>
      <c r="CC3" s="32"/>
      <c r="CD3" s="32" t="s">
        <v>408</v>
      </c>
      <c r="CE3" s="32"/>
      <c r="CF3" s="32" t="s">
        <v>415</v>
      </c>
      <c r="CG3" s="32"/>
      <c r="CH3" s="32"/>
      <c r="CI3" s="32" t="s">
        <v>428</v>
      </c>
      <c r="CJ3" s="32" t="s">
        <v>446</v>
      </c>
      <c r="CK3" s="32" t="s">
        <v>452</v>
      </c>
      <c r="CL3" s="32"/>
      <c r="CM3" s="32" t="s">
        <v>464</v>
      </c>
      <c r="CN3" s="32" t="s">
        <v>493</v>
      </c>
      <c r="CO3" s="32"/>
      <c r="CP3" s="32" t="s">
        <v>532</v>
      </c>
      <c r="CQ3" s="32"/>
      <c r="CR3" s="32"/>
      <c r="CS3" s="32"/>
      <c r="CT3" s="32"/>
      <c r="CU3" s="32" t="s">
        <v>550</v>
      </c>
      <c r="CV3" s="32" t="s">
        <v>554</v>
      </c>
      <c r="CW3" s="32"/>
      <c r="CX3" s="32"/>
      <c r="CY3" s="32" t="s">
        <v>567</v>
      </c>
      <c r="CZ3" s="32"/>
      <c r="DA3" s="32" t="s">
        <v>580</v>
      </c>
      <c r="DB3" s="32"/>
      <c r="DC3" s="32"/>
      <c r="DD3" s="32"/>
      <c r="DE3" s="32"/>
      <c r="DF3" s="32" t="s">
        <v>598</v>
      </c>
      <c r="DG3" s="32"/>
      <c r="DH3" s="32" t="s">
        <v>607</v>
      </c>
      <c r="DI3" s="32" t="s">
        <v>619</v>
      </c>
      <c r="DJ3" s="33"/>
      <c r="DK3" s="32" t="s">
        <v>931</v>
      </c>
      <c r="DL3" s="32" t="s">
        <v>632</v>
      </c>
      <c r="DM3" s="32" t="s">
        <v>934</v>
      </c>
      <c r="DN3" s="32" t="s">
        <v>649</v>
      </c>
      <c r="DO3" s="32"/>
      <c r="DP3" s="32" t="s">
        <v>660</v>
      </c>
      <c r="DQ3" s="32" t="s">
        <v>676</v>
      </c>
      <c r="DR3" s="32" t="s">
        <v>676</v>
      </c>
      <c r="DS3" s="32" t="s">
        <v>686</v>
      </c>
      <c r="DT3" s="32" t="s">
        <v>1196</v>
      </c>
      <c r="DU3" s="32" t="s">
        <v>701</v>
      </c>
      <c r="DV3" s="32" t="s">
        <v>1199</v>
      </c>
      <c r="DW3" s="32"/>
      <c r="DX3" s="32"/>
      <c r="DY3" s="32"/>
      <c r="DZ3" s="32"/>
      <c r="EA3" s="32"/>
      <c r="EB3" s="32" t="s">
        <v>725</v>
      </c>
      <c r="EC3" s="32" t="s">
        <v>936</v>
      </c>
      <c r="ED3" s="32" t="s">
        <v>737</v>
      </c>
      <c r="EE3" s="32" t="s">
        <v>744</v>
      </c>
      <c r="EF3" s="32"/>
      <c r="EG3" s="32" t="s">
        <v>1201</v>
      </c>
      <c r="EH3" s="32"/>
      <c r="EI3" s="32"/>
      <c r="EJ3" s="32" t="s">
        <v>765</v>
      </c>
      <c r="EK3" s="32" t="s">
        <v>769</v>
      </c>
      <c r="EL3" s="32" t="s">
        <v>778</v>
      </c>
      <c r="EM3" s="32"/>
      <c r="EN3" s="32" t="s">
        <v>789</v>
      </c>
      <c r="EO3" t="s">
        <v>1152</v>
      </c>
      <c r="EP3" t="s">
        <v>930</v>
      </c>
      <c r="EQ3" s="95" t="s">
        <v>1219</v>
      </c>
      <c r="ER3" s="95" t="s">
        <v>1219</v>
      </c>
      <c r="EU3" s="32" t="s">
        <v>1044</v>
      </c>
      <c r="EV3" s="32" t="s">
        <v>1054</v>
      </c>
      <c r="EW3" s="32"/>
      <c r="EX3" s="32"/>
      <c r="EY3" s="32" t="s">
        <v>946</v>
      </c>
      <c r="EZ3" s="32"/>
      <c r="FA3" s="32" t="s">
        <v>958</v>
      </c>
      <c r="FB3" s="32"/>
      <c r="FC3" s="32"/>
      <c r="FD3" s="32" t="s">
        <v>1001</v>
      </c>
      <c r="FE3" s="32"/>
      <c r="FF3" s="32" t="s">
        <v>991</v>
      </c>
      <c r="FG3" s="32" t="s">
        <v>999</v>
      </c>
      <c r="FH3" s="32" t="s">
        <v>1054</v>
      </c>
      <c r="FI3" s="32"/>
      <c r="FJ3" s="32"/>
      <c r="FK3" s="32" t="s">
        <v>947</v>
      </c>
      <c r="FL3" s="32"/>
      <c r="FM3" s="32" t="s">
        <v>959</v>
      </c>
      <c r="FN3" s="32"/>
      <c r="FO3" s="32"/>
      <c r="FP3" s="32" t="s">
        <v>980</v>
      </c>
      <c r="FQ3" s="32"/>
      <c r="FR3" s="32" t="s">
        <v>992</v>
      </c>
      <c r="FS3" s="32" t="s">
        <v>1000</v>
      </c>
      <c r="FT3" s="32" t="s">
        <v>958</v>
      </c>
      <c r="FU3" s="32" t="s">
        <v>959</v>
      </c>
      <c r="FV3" s="32" t="s">
        <v>1188</v>
      </c>
      <c r="FW3" s="32" t="s">
        <v>1192</v>
      </c>
      <c r="FX3" s="32" t="s">
        <v>1006</v>
      </c>
      <c r="FY3" s="51" t="s">
        <v>1020</v>
      </c>
      <c r="FZ3" s="51" t="s">
        <v>1034</v>
      </c>
      <c r="GA3" s="51" t="s">
        <v>1042</v>
      </c>
    </row>
    <row r="4" spans="1:183" ht="133.5" customHeight="1" x14ac:dyDescent="0.3">
      <c r="A4" s="4">
        <v>79073</v>
      </c>
      <c r="B4" s="31"/>
      <c r="C4" s="31" t="s">
        <v>1210</v>
      </c>
      <c r="D4" s="3" t="s">
        <v>145</v>
      </c>
      <c r="E4" s="3" t="s">
        <v>1195</v>
      </c>
      <c r="F4" s="4" t="s">
        <v>39</v>
      </c>
      <c r="G4" s="97" t="s">
        <v>1224</v>
      </c>
      <c r="H4" s="97" t="s">
        <v>1224</v>
      </c>
      <c r="I4" s="31"/>
      <c r="J4" s="31"/>
      <c r="K4" s="32" t="s">
        <v>798</v>
      </c>
      <c r="L4" s="32"/>
      <c r="M4" s="32" t="s">
        <v>150</v>
      </c>
      <c r="N4" s="32"/>
      <c r="O4" s="32"/>
      <c r="P4" s="32"/>
      <c r="Q4" s="32"/>
      <c r="R4" s="32"/>
      <c r="S4" s="32"/>
      <c r="T4" s="32" t="s">
        <v>1153</v>
      </c>
      <c r="U4" s="32"/>
      <c r="V4" s="32" t="s">
        <v>1174</v>
      </c>
      <c r="W4" s="32"/>
      <c r="X4" s="32" t="s">
        <v>1154</v>
      </c>
      <c r="Y4" s="32" t="s">
        <v>1189</v>
      </c>
      <c r="Z4" s="32"/>
      <c r="AA4" s="32"/>
      <c r="AB4" s="32"/>
      <c r="AC4" s="32"/>
      <c r="AD4" s="32"/>
      <c r="AE4" s="32"/>
      <c r="AF4" s="32" t="s">
        <v>195</v>
      </c>
      <c r="AG4" s="32"/>
      <c r="AH4" s="32"/>
      <c r="AI4" s="32"/>
      <c r="AJ4" s="32" t="s">
        <v>200</v>
      </c>
      <c r="AK4" s="32"/>
      <c r="AL4" s="32"/>
      <c r="AM4" s="32"/>
      <c r="AN4" s="32"/>
      <c r="AO4" s="32"/>
      <c r="AP4" s="32"/>
      <c r="AQ4" s="32"/>
      <c r="AR4" s="32"/>
      <c r="AS4" s="32" t="s">
        <v>214</v>
      </c>
      <c r="AT4" s="32"/>
      <c r="AU4" s="32"/>
      <c r="AV4" s="32"/>
      <c r="AW4" s="32" t="s">
        <v>223</v>
      </c>
      <c r="AX4" s="32"/>
      <c r="AY4" s="32"/>
      <c r="AZ4" s="32"/>
      <c r="BA4" s="32" t="s">
        <v>231</v>
      </c>
      <c r="BB4" s="32"/>
      <c r="BC4" s="32"/>
      <c r="BD4" s="32" t="s">
        <v>239</v>
      </c>
      <c r="BE4" s="32"/>
      <c r="BF4" s="32"/>
      <c r="BG4" s="32"/>
      <c r="BH4" s="32"/>
      <c r="BI4" s="32"/>
      <c r="BJ4" s="32"/>
      <c r="BK4" s="32"/>
      <c r="BL4" s="32"/>
      <c r="BM4" s="32"/>
      <c r="BN4" s="32" t="s">
        <v>1202</v>
      </c>
      <c r="BO4" s="32" t="s">
        <v>1158</v>
      </c>
      <c r="BP4" s="32" t="s">
        <v>259</v>
      </c>
      <c r="BQ4" s="32"/>
      <c r="BR4" s="32"/>
      <c r="BS4" s="32"/>
      <c r="BT4" s="32"/>
      <c r="BU4" s="32"/>
      <c r="BV4" s="32" t="s">
        <v>270</v>
      </c>
      <c r="BW4" s="32" t="s">
        <v>273</v>
      </c>
      <c r="BX4" s="32"/>
      <c r="BY4" s="32"/>
      <c r="BZ4" s="32" t="s">
        <v>861</v>
      </c>
      <c r="CA4" s="32"/>
      <c r="CB4" s="32" t="s">
        <v>397</v>
      </c>
      <c r="CC4" s="32"/>
      <c r="CD4" s="32"/>
      <c r="CE4" s="32"/>
      <c r="CF4" s="32"/>
      <c r="CG4" s="32"/>
      <c r="CH4" s="32"/>
      <c r="CI4" s="32" t="s">
        <v>429</v>
      </c>
      <c r="CJ4" s="32"/>
      <c r="CK4" s="32" t="s">
        <v>453</v>
      </c>
      <c r="CL4" s="32"/>
      <c r="CM4" s="32" t="s">
        <v>468</v>
      </c>
      <c r="CN4" s="32" t="s">
        <v>494</v>
      </c>
      <c r="CO4" s="32"/>
      <c r="CP4" s="32"/>
      <c r="CQ4" s="32"/>
      <c r="CR4" s="32"/>
      <c r="CS4" s="32"/>
      <c r="CT4" s="32"/>
      <c r="CU4" s="32" t="s">
        <v>551</v>
      </c>
      <c r="CV4" s="32"/>
      <c r="CW4" s="32"/>
      <c r="CX4" s="32"/>
      <c r="CY4" s="32" t="s">
        <v>570</v>
      </c>
      <c r="CZ4" s="32"/>
      <c r="DA4" s="32"/>
      <c r="DB4" s="32"/>
      <c r="DC4" s="32"/>
      <c r="DD4" s="32"/>
      <c r="DE4" s="32"/>
      <c r="DF4" s="32"/>
      <c r="DG4" s="32"/>
      <c r="DH4" s="32" t="s">
        <v>610</v>
      </c>
      <c r="DI4" s="32"/>
      <c r="DJ4" s="33"/>
      <c r="DK4" s="32"/>
      <c r="DL4" s="32" t="s">
        <v>635</v>
      </c>
      <c r="DM4" s="32"/>
      <c r="DN4" s="32"/>
      <c r="DO4" s="32"/>
      <c r="DP4" s="32" t="s">
        <v>663</v>
      </c>
      <c r="DQ4" s="32"/>
      <c r="DR4" s="32"/>
      <c r="DS4" s="32" t="s">
        <v>689</v>
      </c>
      <c r="DT4" s="32"/>
      <c r="DU4" s="32"/>
      <c r="DV4" s="32"/>
      <c r="DW4" s="32"/>
      <c r="DX4" s="32"/>
      <c r="DY4" s="32"/>
      <c r="DZ4" s="32"/>
      <c r="EA4" s="32"/>
      <c r="EB4" s="32"/>
      <c r="EC4" s="32" t="s">
        <v>733</v>
      </c>
      <c r="ED4" s="32" t="s">
        <v>739</v>
      </c>
      <c r="EE4" s="32" t="s">
        <v>745</v>
      </c>
      <c r="EF4" s="32"/>
      <c r="EG4" s="32"/>
      <c r="EH4" s="32"/>
      <c r="EI4" s="32"/>
      <c r="EJ4" s="32"/>
      <c r="EK4" s="32" t="s">
        <v>770</v>
      </c>
      <c r="EL4" s="32" t="s">
        <v>780</v>
      </c>
      <c r="EM4" s="32"/>
      <c r="EN4" s="32"/>
      <c r="EO4" t="s">
        <v>1152</v>
      </c>
      <c r="EP4" t="s">
        <v>927</v>
      </c>
      <c r="EQ4" s="32"/>
      <c r="ER4" s="32"/>
      <c r="EU4" s="32" t="s">
        <v>1045</v>
      </c>
      <c r="EV4" s="32" t="s">
        <v>1055</v>
      </c>
      <c r="EW4" s="32"/>
      <c r="EX4" s="32"/>
      <c r="EY4" s="32" t="s">
        <v>948</v>
      </c>
      <c r="EZ4" s="32"/>
      <c r="FA4" s="32" t="s">
        <v>1193</v>
      </c>
      <c r="FB4" s="32"/>
      <c r="FC4" s="32"/>
      <c r="FD4" s="32" t="s">
        <v>981</v>
      </c>
      <c r="FE4" s="32"/>
      <c r="FF4" s="32" t="s">
        <v>1155</v>
      </c>
      <c r="FG4" s="32"/>
      <c r="FH4" s="32" t="s">
        <v>1055</v>
      </c>
      <c r="FI4" s="32"/>
      <c r="FJ4" s="32"/>
      <c r="FK4" s="32" t="s">
        <v>949</v>
      </c>
      <c r="FL4" s="32"/>
      <c r="FM4" s="32" t="s">
        <v>961</v>
      </c>
      <c r="FN4" s="32"/>
      <c r="FO4" s="32"/>
      <c r="FP4" s="32" t="s">
        <v>1204</v>
      </c>
      <c r="FQ4" s="32"/>
      <c r="FR4" s="32" t="s">
        <v>994</v>
      </c>
      <c r="FS4" s="32"/>
      <c r="FT4" s="32" t="s">
        <v>1146</v>
      </c>
      <c r="FU4" s="32" t="s">
        <v>990</v>
      </c>
      <c r="FV4" s="32" t="s">
        <v>1136</v>
      </c>
      <c r="FW4" s="32" t="s">
        <v>1156</v>
      </c>
      <c r="FX4" s="32" t="s">
        <v>1007</v>
      </c>
      <c r="FY4" s="51" t="s">
        <v>1021</v>
      </c>
      <c r="FZ4" s="51" t="s">
        <v>1070</v>
      </c>
      <c r="GA4" s="51" t="s">
        <v>1071</v>
      </c>
    </row>
    <row r="5" spans="1:183" ht="131.25" customHeight="1" x14ac:dyDescent="0.3">
      <c r="A5" s="2">
        <v>85433</v>
      </c>
      <c r="B5" s="31"/>
      <c r="C5" s="31" t="s">
        <v>1211</v>
      </c>
      <c r="D5" s="31"/>
      <c r="E5" s="31"/>
      <c r="F5" s="8" t="s">
        <v>117</v>
      </c>
      <c r="G5" s="31"/>
      <c r="H5" s="31"/>
      <c r="I5" s="31"/>
      <c r="J5" s="31"/>
      <c r="K5" s="32" t="s">
        <v>799</v>
      </c>
      <c r="L5" s="32"/>
      <c r="M5" s="32" t="s">
        <v>151</v>
      </c>
      <c r="N5" s="32"/>
      <c r="O5" s="32"/>
      <c r="P5" s="32"/>
      <c r="Q5" s="32"/>
      <c r="R5" s="32"/>
      <c r="S5" s="32"/>
      <c r="T5" s="32" t="s">
        <v>1133</v>
      </c>
      <c r="U5" s="32"/>
      <c r="V5" s="32" t="s">
        <v>171</v>
      </c>
      <c r="W5" s="32"/>
      <c r="X5" s="32" t="s">
        <v>175</v>
      </c>
      <c r="Y5" s="32" t="s">
        <v>1169</v>
      </c>
      <c r="Z5" s="32"/>
      <c r="AA5" s="32"/>
      <c r="AB5" s="32"/>
      <c r="AC5" s="32"/>
      <c r="AD5" s="32"/>
      <c r="AE5" s="32"/>
      <c r="AF5" s="32"/>
      <c r="AG5" s="32"/>
      <c r="AH5" s="32"/>
      <c r="AI5" s="32"/>
      <c r="AJ5" s="32" t="s">
        <v>1157</v>
      </c>
      <c r="AK5" s="32"/>
      <c r="AL5" s="32"/>
      <c r="AM5" s="32"/>
      <c r="AN5" s="32"/>
      <c r="AO5" s="32"/>
      <c r="AP5" s="32"/>
      <c r="AQ5" s="32"/>
      <c r="AR5" s="32"/>
      <c r="AS5" s="32" t="s">
        <v>215</v>
      </c>
      <c r="AT5" s="32"/>
      <c r="AU5" s="32"/>
      <c r="AV5" s="32"/>
      <c r="AW5" s="32" t="s">
        <v>224</v>
      </c>
      <c r="AX5" s="32"/>
      <c r="AY5" s="32"/>
      <c r="AZ5" s="32"/>
      <c r="BA5" s="32" t="s">
        <v>232</v>
      </c>
      <c r="BB5" s="32"/>
      <c r="BC5" s="32"/>
      <c r="BD5" s="32" t="s">
        <v>240</v>
      </c>
      <c r="BE5" s="32"/>
      <c r="BF5" s="32"/>
      <c r="BG5" s="32"/>
      <c r="BH5" s="32"/>
      <c r="BI5" s="32"/>
      <c r="BJ5" s="32"/>
      <c r="BK5" s="32"/>
      <c r="BL5" s="32"/>
      <c r="BM5" s="32"/>
      <c r="BN5" s="32"/>
      <c r="BO5" s="32" t="s">
        <v>256</v>
      </c>
      <c r="BP5" s="32" t="s">
        <v>260</v>
      </c>
      <c r="BQ5" s="32"/>
      <c r="BR5" s="32"/>
      <c r="BS5" s="32"/>
      <c r="BT5" s="32"/>
      <c r="BU5" s="32"/>
      <c r="BV5" s="32" t="s">
        <v>1186</v>
      </c>
      <c r="BW5" s="32"/>
      <c r="BX5" s="32"/>
      <c r="BY5" s="32"/>
      <c r="BZ5" s="32" t="s">
        <v>862</v>
      </c>
      <c r="CA5" s="32"/>
      <c r="CB5" s="32" t="s">
        <v>398</v>
      </c>
      <c r="CC5" s="32"/>
      <c r="CD5" s="32"/>
      <c r="CE5" s="32"/>
      <c r="CF5" s="32"/>
      <c r="CG5" s="32"/>
      <c r="CH5" s="32"/>
      <c r="CI5" s="32" t="s">
        <v>432</v>
      </c>
      <c r="CJ5" s="32"/>
      <c r="CK5" s="32" t="s">
        <v>454</v>
      </c>
      <c r="CL5" s="32"/>
      <c r="CM5" s="32" t="s">
        <v>471</v>
      </c>
      <c r="CN5" s="32" t="s">
        <v>497</v>
      </c>
      <c r="CO5" s="32"/>
      <c r="CP5" s="32"/>
      <c r="CQ5" s="32"/>
      <c r="CR5" s="32"/>
      <c r="CS5" s="32"/>
      <c r="CT5" s="32"/>
      <c r="CU5" s="32"/>
      <c r="CV5" s="32"/>
      <c r="CW5" s="32"/>
      <c r="CX5" s="32"/>
      <c r="CY5" s="32" t="s">
        <v>573</v>
      </c>
      <c r="CZ5" s="32"/>
      <c r="DA5" s="32"/>
      <c r="DB5" s="32"/>
      <c r="DC5" s="32"/>
      <c r="DD5" s="32"/>
      <c r="DE5" s="32"/>
      <c r="DF5" s="32"/>
      <c r="DG5" s="32"/>
      <c r="DH5" s="32" t="s">
        <v>613</v>
      </c>
      <c r="DI5" s="32"/>
      <c r="DJ5" s="33"/>
      <c r="DK5" s="32"/>
      <c r="DL5" s="32" t="s">
        <v>638</v>
      </c>
      <c r="DM5" s="32"/>
      <c r="DN5" s="32"/>
      <c r="DO5" s="32"/>
      <c r="DP5" s="32" t="s">
        <v>664</v>
      </c>
      <c r="DQ5" s="32"/>
      <c r="DR5" s="32"/>
      <c r="DS5" s="32" t="s">
        <v>692</v>
      </c>
      <c r="DT5" s="32"/>
      <c r="DU5" s="32"/>
      <c r="DV5" s="32"/>
      <c r="DW5" s="32"/>
      <c r="DX5" s="32"/>
      <c r="DY5" s="32"/>
      <c r="DZ5" s="32"/>
      <c r="EA5" s="32"/>
      <c r="EB5" s="32"/>
      <c r="EC5" s="32"/>
      <c r="ED5" s="32" t="s">
        <v>740</v>
      </c>
      <c r="EE5" s="32" t="s">
        <v>746</v>
      </c>
      <c r="EF5" s="32"/>
      <c r="EG5" s="32"/>
      <c r="EH5" s="32"/>
      <c r="EI5" s="32"/>
      <c r="EJ5" s="32"/>
      <c r="EK5" s="32" t="s">
        <v>772</v>
      </c>
      <c r="EL5" s="32"/>
      <c r="EM5" s="32"/>
      <c r="EN5" s="32"/>
      <c r="EO5" t="s">
        <v>1159</v>
      </c>
      <c r="EP5" t="s">
        <v>928</v>
      </c>
      <c r="EQ5" s="32"/>
      <c r="ER5" s="32"/>
      <c r="EU5" s="32" t="s">
        <v>1046</v>
      </c>
      <c r="EV5" s="32" t="s">
        <v>1056</v>
      </c>
      <c r="EW5" s="32"/>
      <c r="EX5" s="32"/>
      <c r="EY5" s="32"/>
      <c r="EZ5" s="32"/>
      <c r="FA5" s="32" t="s">
        <v>962</v>
      </c>
      <c r="FB5" s="32"/>
      <c r="FC5" s="32"/>
      <c r="FD5" s="32"/>
      <c r="FE5" s="32"/>
      <c r="FF5" s="32"/>
      <c r="FG5" s="32"/>
      <c r="FH5" s="32" t="s">
        <v>1056</v>
      </c>
      <c r="FI5" s="32"/>
      <c r="FJ5" s="32"/>
      <c r="FK5" s="32"/>
      <c r="FL5" s="32"/>
      <c r="FM5" s="32" t="s">
        <v>963</v>
      </c>
      <c r="FN5" s="32"/>
      <c r="FO5" s="32"/>
      <c r="FP5" s="32"/>
      <c r="FQ5" s="32"/>
      <c r="FR5" s="32"/>
      <c r="FS5" s="32"/>
      <c r="FT5" s="32" t="s">
        <v>1193</v>
      </c>
      <c r="FU5" s="32" t="s">
        <v>961</v>
      </c>
      <c r="FV5" s="32" t="s">
        <v>1137</v>
      </c>
      <c r="FW5" s="32" t="s">
        <v>1160</v>
      </c>
      <c r="FX5" s="32" t="s">
        <v>1008</v>
      </c>
      <c r="FY5" s="51" t="s">
        <v>1022</v>
      </c>
      <c r="FZ5" s="51" t="s">
        <v>1066</v>
      </c>
      <c r="GA5" s="51" t="s">
        <v>1067</v>
      </c>
    </row>
    <row r="6" spans="1:183" ht="29.25" customHeight="1" x14ac:dyDescent="0.3">
      <c r="A6" s="4">
        <v>102075</v>
      </c>
      <c r="B6" s="31"/>
      <c r="C6" s="31" t="s">
        <v>1212</v>
      </c>
      <c r="D6" s="31"/>
      <c r="E6" s="31"/>
      <c r="F6" s="4" t="s">
        <v>64</v>
      </c>
      <c r="G6" s="31"/>
      <c r="H6" s="31"/>
      <c r="I6" s="31"/>
      <c r="J6" s="31"/>
      <c r="K6" s="32" t="s">
        <v>386</v>
      </c>
      <c r="L6" s="32"/>
      <c r="M6" s="32"/>
      <c r="N6" s="32"/>
      <c r="O6" s="32"/>
      <c r="P6" s="32"/>
      <c r="Q6" s="32"/>
      <c r="R6" s="32"/>
      <c r="S6" s="32"/>
      <c r="T6" s="32" t="s">
        <v>1161</v>
      </c>
      <c r="U6" s="32"/>
      <c r="V6" s="32"/>
      <c r="W6" s="32"/>
      <c r="X6" s="32" t="s">
        <v>176</v>
      </c>
      <c r="Y6" s="32" t="s">
        <v>182</v>
      </c>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t="s">
        <v>233</v>
      </c>
      <c r="BB6" s="32"/>
      <c r="BC6" s="32"/>
      <c r="BD6" s="32"/>
      <c r="BE6" s="32"/>
      <c r="BF6" s="32"/>
      <c r="BG6" s="32"/>
      <c r="BH6" s="32"/>
      <c r="BI6" s="32"/>
      <c r="BJ6" s="32"/>
      <c r="BK6" s="32"/>
      <c r="BL6" s="32"/>
      <c r="BM6" s="32"/>
      <c r="BN6" s="32"/>
      <c r="BP6" s="32"/>
      <c r="BQ6" s="32"/>
      <c r="BR6" s="32"/>
      <c r="BS6" s="32"/>
      <c r="BT6" s="32"/>
      <c r="BU6" s="32"/>
      <c r="BV6" s="32" t="s">
        <v>1229</v>
      </c>
      <c r="BW6" s="32"/>
      <c r="BX6" s="32"/>
      <c r="BY6" s="32"/>
      <c r="BZ6" s="32" t="s">
        <v>863</v>
      </c>
      <c r="CA6" s="32"/>
      <c r="CB6" s="32"/>
      <c r="CC6" s="32"/>
      <c r="CD6" s="32"/>
      <c r="CE6" s="32"/>
      <c r="CF6" s="32"/>
      <c r="CG6" s="32"/>
      <c r="CH6" s="32"/>
      <c r="CI6" s="32" t="s">
        <v>433</v>
      </c>
      <c r="CJ6" s="32"/>
      <c r="CK6" s="32"/>
      <c r="CL6" s="32"/>
      <c r="CM6" s="32" t="s">
        <v>473</v>
      </c>
      <c r="CN6" s="32" t="s">
        <v>500</v>
      </c>
      <c r="CO6" s="32"/>
      <c r="CP6" s="32"/>
      <c r="CQ6" s="32"/>
      <c r="CR6" s="32"/>
      <c r="CS6" s="32"/>
      <c r="CT6" s="32"/>
      <c r="CU6" s="32"/>
      <c r="CV6" s="32"/>
      <c r="CW6" s="32"/>
      <c r="CX6" s="32"/>
      <c r="CY6" s="32"/>
      <c r="CZ6" s="32"/>
      <c r="DA6" s="32"/>
      <c r="DB6" s="32"/>
      <c r="DC6" s="32"/>
      <c r="DD6" s="32"/>
      <c r="DE6" s="32"/>
      <c r="DF6" s="32"/>
      <c r="DG6" s="32"/>
      <c r="DH6" s="32"/>
      <c r="DI6" s="32"/>
      <c r="DJ6" s="33"/>
      <c r="DK6" s="32"/>
      <c r="DL6" s="32"/>
      <c r="DM6" s="32"/>
      <c r="DN6" s="32"/>
      <c r="DO6" s="32"/>
      <c r="DP6" s="32" t="s">
        <v>668</v>
      </c>
      <c r="DQ6" s="32"/>
      <c r="DR6" s="32"/>
      <c r="DS6" s="32"/>
      <c r="DT6" s="32"/>
      <c r="DU6" s="32"/>
      <c r="DV6" s="32"/>
      <c r="DW6" s="32"/>
      <c r="DX6" s="32"/>
      <c r="DY6" s="32"/>
      <c r="DZ6" s="32"/>
      <c r="EA6" s="32"/>
      <c r="EB6" s="32"/>
      <c r="EC6" s="32"/>
      <c r="ED6" s="32"/>
      <c r="EE6" s="32"/>
      <c r="EF6" s="32"/>
      <c r="EG6" s="32"/>
      <c r="EH6" s="32"/>
      <c r="EI6" s="32"/>
      <c r="EJ6" s="32"/>
      <c r="EK6" s="32" t="s">
        <v>1231</v>
      </c>
      <c r="EL6" s="32"/>
      <c r="EM6" s="32"/>
      <c r="EN6" s="32"/>
      <c r="EO6" t="s">
        <v>813</v>
      </c>
      <c r="EP6" t="s">
        <v>929</v>
      </c>
      <c r="EQ6" s="32"/>
      <c r="ER6" s="32"/>
      <c r="EU6" s="32" t="s">
        <v>1050</v>
      </c>
      <c r="EV6" s="32" t="s">
        <v>1057</v>
      </c>
      <c r="EW6" s="32"/>
      <c r="EX6" s="32"/>
      <c r="EY6" s="32"/>
      <c r="EZ6" s="32"/>
      <c r="FA6" s="32" t="s">
        <v>964</v>
      </c>
      <c r="FB6" s="32"/>
      <c r="FC6" s="32"/>
      <c r="FD6" s="32"/>
      <c r="FE6" s="32"/>
      <c r="FF6" s="32"/>
      <c r="FG6" s="32"/>
      <c r="FH6" s="32" t="s">
        <v>1057</v>
      </c>
      <c r="FI6" s="32"/>
      <c r="FJ6" s="32"/>
      <c r="FK6" s="32"/>
      <c r="FL6" s="32"/>
      <c r="FM6" s="32" t="s">
        <v>1163</v>
      </c>
      <c r="FN6" s="32"/>
      <c r="FO6" s="32"/>
      <c r="FP6" s="32"/>
      <c r="FQ6" s="32"/>
      <c r="FR6" s="32"/>
      <c r="FS6" s="32"/>
      <c r="FT6" s="32" t="s">
        <v>962</v>
      </c>
      <c r="FU6" s="32" t="s">
        <v>963</v>
      </c>
      <c r="FV6" s="32"/>
      <c r="FW6" s="32"/>
      <c r="FX6" s="32" t="s">
        <v>1009</v>
      </c>
      <c r="FY6" s="51" t="s">
        <v>1023</v>
      </c>
      <c r="FZ6" s="51" t="s">
        <v>1035</v>
      </c>
      <c r="GA6" s="51" t="s">
        <v>1043</v>
      </c>
    </row>
    <row r="7" spans="1:183" ht="29.25" customHeight="1" x14ac:dyDescent="0.3">
      <c r="A7" s="4">
        <v>102538</v>
      </c>
      <c r="B7" s="31"/>
      <c r="C7" s="31" t="s">
        <v>1213</v>
      </c>
      <c r="D7" s="31"/>
      <c r="E7" s="31"/>
      <c r="F7" s="8" t="s">
        <v>75</v>
      </c>
      <c r="G7" s="31"/>
      <c r="H7" s="31"/>
      <c r="I7" s="31"/>
      <c r="J7" s="31"/>
      <c r="K7" s="32" t="s">
        <v>387</v>
      </c>
      <c r="L7" s="32"/>
      <c r="M7" s="32"/>
      <c r="N7" s="32"/>
      <c r="O7" s="32"/>
      <c r="P7" s="32"/>
      <c r="Q7" s="32"/>
      <c r="R7" s="32"/>
      <c r="S7" s="32"/>
      <c r="T7" s="32" t="s">
        <v>163</v>
      </c>
      <c r="U7" s="32"/>
      <c r="V7" s="32"/>
      <c r="W7" s="32"/>
      <c r="X7" s="32" t="s">
        <v>177</v>
      </c>
      <c r="Y7" s="32" t="s">
        <v>503</v>
      </c>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t="s">
        <v>234</v>
      </c>
      <c r="BB7" s="32"/>
      <c r="BC7" s="32"/>
      <c r="BD7" s="32"/>
      <c r="BE7" s="32"/>
      <c r="BF7" s="32"/>
      <c r="BG7" s="32"/>
      <c r="BH7" s="32"/>
      <c r="BI7" s="32"/>
      <c r="BJ7" s="32"/>
      <c r="BK7" s="32"/>
      <c r="BL7" s="32"/>
      <c r="BM7" s="32"/>
      <c r="BN7" s="32"/>
      <c r="BO7" s="32"/>
      <c r="BP7" s="32"/>
      <c r="BQ7" s="32"/>
      <c r="BR7" s="32"/>
      <c r="BS7" s="32"/>
      <c r="BT7" s="32"/>
      <c r="BU7" s="32"/>
      <c r="BV7" s="32" t="s">
        <v>1230</v>
      </c>
      <c r="BW7" s="32"/>
      <c r="BX7" s="32"/>
      <c r="BY7" s="32"/>
      <c r="BZ7" s="32" t="s">
        <v>864</v>
      </c>
      <c r="CA7" s="32"/>
      <c r="CB7" s="32"/>
      <c r="CC7" s="32"/>
      <c r="CD7" s="32"/>
      <c r="CE7" s="32"/>
      <c r="CF7" s="32"/>
      <c r="CG7" s="32"/>
      <c r="CH7" s="32"/>
      <c r="CI7" s="32" t="s">
        <v>437</v>
      </c>
      <c r="CJ7" s="32"/>
      <c r="CK7" s="32"/>
      <c r="CL7" s="32"/>
      <c r="CM7" s="32" t="s">
        <v>474</v>
      </c>
      <c r="CN7" s="32" t="s">
        <v>504</v>
      </c>
      <c r="CO7" s="32"/>
      <c r="CP7" s="32"/>
      <c r="CQ7" s="32"/>
      <c r="CR7" s="32"/>
      <c r="CS7" s="32"/>
      <c r="CT7" s="32"/>
      <c r="CU7" s="32"/>
      <c r="CV7" s="32"/>
      <c r="CW7" s="32"/>
      <c r="CX7" s="32"/>
      <c r="CY7" s="32"/>
      <c r="CZ7" s="32"/>
      <c r="DA7" s="32"/>
      <c r="DB7" s="32"/>
      <c r="DC7" s="32"/>
      <c r="DD7" s="32"/>
      <c r="DE7" s="32"/>
      <c r="DF7" s="32"/>
      <c r="DG7" s="32"/>
      <c r="DH7" s="32"/>
      <c r="DI7" s="32"/>
      <c r="DJ7" s="33"/>
      <c r="DK7" s="32"/>
      <c r="DL7" s="32"/>
      <c r="DM7" s="32"/>
      <c r="DN7" s="32"/>
      <c r="DO7" s="32"/>
      <c r="DP7" s="32" t="s">
        <v>669</v>
      </c>
      <c r="DQ7" s="32"/>
      <c r="DR7" s="32"/>
      <c r="DS7" s="32"/>
      <c r="DT7" s="32"/>
      <c r="DU7" s="32"/>
      <c r="DV7" s="32"/>
      <c r="DW7" s="32"/>
      <c r="DX7" s="32"/>
      <c r="DY7" s="32"/>
      <c r="DZ7" s="32"/>
      <c r="EA7" s="32"/>
      <c r="EB7" s="32"/>
      <c r="EC7" s="32"/>
      <c r="ED7" s="32"/>
      <c r="EE7" s="32"/>
      <c r="EF7" s="32"/>
      <c r="EG7" s="32"/>
      <c r="EH7" s="32"/>
      <c r="EI7" s="32"/>
      <c r="EJ7" s="32"/>
      <c r="EK7" s="32" t="s">
        <v>1232</v>
      </c>
      <c r="EL7" s="32"/>
      <c r="EM7" s="32"/>
      <c r="EN7" s="32"/>
      <c r="EO7" t="s">
        <v>1225</v>
      </c>
      <c r="EP7" t="s">
        <v>1226</v>
      </c>
      <c r="EQ7" s="32"/>
      <c r="ER7" s="32"/>
      <c r="EU7" s="32" t="s">
        <v>1051</v>
      </c>
      <c r="EV7" s="32" t="s">
        <v>1058</v>
      </c>
      <c r="EW7" s="32"/>
      <c r="EX7" s="32"/>
      <c r="EY7" s="32"/>
      <c r="EZ7" s="32"/>
      <c r="FA7" s="32" t="s">
        <v>1164</v>
      </c>
      <c r="FB7" s="32"/>
      <c r="FC7" s="32"/>
      <c r="FD7" s="32"/>
      <c r="FE7" s="32"/>
      <c r="FF7" s="32"/>
      <c r="FG7" s="32"/>
      <c r="FH7" s="32" t="s">
        <v>1058</v>
      </c>
      <c r="FI7" s="32"/>
      <c r="FJ7" s="32"/>
      <c r="FK7" s="32"/>
      <c r="FL7" s="32"/>
      <c r="FM7" s="32" t="s">
        <v>1165</v>
      </c>
      <c r="FN7" s="32"/>
      <c r="FO7" s="32"/>
      <c r="FP7" s="32"/>
      <c r="FQ7" s="32"/>
      <c r="FR7" s="32"/>
      <c r="FS7" s="32"/>
      <c r="FT7" s="32" t="s">
        <v>1145</v>
      </c>
      <c r="FU7" s="32" t="s">
        <v>979</v>
      </c>
      <c r="FV7" s="32"/>
      <c r="FW7" s="32"/>
      <c r="FX7" s="32" t="s">
        <v>1010</v>
      </c>
      <c r="FY7" s="51" t="s">
        <v>1024</v>
      </c>
      <c r="FZ7" s="51" t="s">
        <v>1036</v>
      </c>
      <c r="GA7" s="51" t="s">
        <v>1036</v>
      </c>
    </row>
    <row r="8" spans="1:183" ht="29.25" customHeight="1" x14ac:dyDescent="0.3">
      <c r="A8" s="4">
        <v>112120</v>
      </c>
      <c r="B8" s="31"/>
      <c r="C8" s="31" t="s">
        <v>1214</v>
      </c>
      <c r="D8" s="31"/>
      <c r="E8" s="31"/>
      <c r="F8" s="4" t="s">
        <v>31</v>
      </c>
      <c r="G8" s="31"/>
      <c r="H8" s="31"/>
      <c r="I8" s="31"/>
      <c r="J8" s="31"/>
      <c r="K8" s="32" t="s">
        <v>801</v>
      </c>
      <c r="L8" s="32"/>
      <c r="M8" s="32"/>
      <c r="N8" s="32"/>
      <c r="O8" s="32"/>
      <c r="P8" s="32"/>
      <c r="Q8" s="32"/>
      <c r="R8" s="32"/>
      <c r="S8" s="32"/>
      <c r="T8" s="32" t="s">
        <v>1166</v>
      </c>
      <c r="U8" s="32"/>
      <c r="V8" s="32"/>
      <c r="W8" s="32"/>
      <c r="X8" s="32" t="s">
        <v>808</v>
      </c>
      <c r="Y8" s="32" t="s">
        <v>505</v>
      </c>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t="s">
        <v>1162</v>
      </c>
      <c r="BW8" s="32"/>
      <c r="BX8" s="32"/>
      <c r="BY8" s="32"/>
      <c r="BZ8" s="32" t="s">
        <v>865</v>
      </c>
      <c r="CA8" s="32"/>
      <c r="CB8" s="32"/>
      <c r="CC8" s="32"/>
      <c r="CD8" s="32"/>
      <c r="CE8" s="32"/>
      <c r="CF8" s="32"/>
      <c r="CG8" s="32"/>
      <c r="CH8" s="32"/>
      <c r="CI8" s="32" t="s">
        <v>439</v>
      </c>
      <c r="CJ8" s="32"/>
      <c r="CK8" s="32"/>
      <c r="CL8" s="32"/>
      <c r="CM8" s="32" t="s">
        <v>477</v>
      </c>
      <c r="CN8" s="32" t="s">
        <v>506</v>
      </c>
      <c r="CO8" s="32"/>
      <c r="CP8" s="32"/>
      <c r="CQ8" s="32"/>
      <c r="CR8" s="32"/>
      <c r="CS8" s="32"/>
      <c r="CT8" s="32"/>
      <c r="CU8" s="32"/>
      <c r="CV8" s="32"/>
      <c r="CW8" s="32"/>
      <c r="CX8" s="32"/>
      <c r="CY8" s="32"/>
      <c r="CZ8" s="32"/>
      <c r="DA8" s="32"/>
      <c r="DB8" s="32"/>
      <c r="DC8" s="32"/>
      <c r="DD8" s="32"/>
      <c r="DE8" s="32"/>
      <c r="DF8" s="32"/>
      <c r="DG8" s="32"/>
      <c r="DH8" s="32"/>
      <c r="DI8" s="32"/>
      <c r="DJ8" s="33"/>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t="s">
        <v>774</v>
      </c>
      <c r="EL8" s="32"/>
      <c r="EM8" s="32"/>
      <c r="EN8" s="32"/>
      <c r="EO8" t="s">
        <v>185</v>
      </c>
      <c r="EP8" t="s">
        <v>523</v>
      </c>
      <c r="EQ8" s="32"/>
      <c r="ER8" s="32"/>
      <c r="EU8" s="32" t="s">
        <v>1052</v>
      </c>
      <c r="EV8" s="32" t="s">
        <v>1059</v>
      </c>
      <c r="EW8" s="32"/>
      <c r="EX8" s="32"/>
      <c r="EY8" s="32"/>
      <c r="EZ8" s="32"/>
      <c r="FA8" s="32"/>
      <c r="FB8" s="32"/>
      <c r="FC8" s="32"/>
      <c r="FD8" s="32"/>
      <c r="FE8" s="32"/>
      <c r="FF8" s="32"/>
      <c r="FG8" s="32"/>
      <c r="FH8" s="32" t="s">
        <v>1059</v>
      </c>
      <c r="FI8" s="32"/>
      <c r="FJ8" s="32"/>
      <c r="FK8" s="32"/>
      <c r="FL8" s="32"/>
      <c r="FM8" s="32"/>
      <c r="FN8" s="32"/>
      <c r="FO8" s="32"/>
      <c r="FP8" s="32"/>
      <c r="FQ8" s="32"/>
      <c r="FR8" s="32"/>
      <c r="FS8" s="32"/>
      <c r="FT8" s="32" t="s">
        <v>1001</v>
      </c>
      <c r="FU8" s="32" t="s">
        <v>980</v>
      </c>
      <c r="FV8" s="32"/>
      <c r="FW8" s="32"/>
      <c r="FX8" s="32" t="s">
        <v>1167</v>
      </c>
      <c r="FY8" s="51" t="s">
        <v>1025</v>
      </c>
      <c r="FZ8" s="51" t="s">
        <v>1039</v>
      </c>
      <c r="GA8" s="51" t="s">
        <v>1040</v>
      </c>
    </row>
    <row r="9" spans="1:183" ht="29.25" customHeight="1" x14ac:dyDescent="0.3">
      <c r="A9" s="4">
        <v>113947</v>
      </c>
      <c r="B9" s="31"/>
      <c r="C9" s="31" t="s">
        <v>1215</v>
      </c>
      <c r="D9" s="31"/>
      <c r="E9" s="31"/>
      <c r="F9" s="8" t="s">
        <v>80</v>
      </c>
      <c r="G9" s="31"/>
      <c r="H9" s="31"/>
      <c r="I9" s="31"/>
      <c r="J9" s="31"/>
      <c r="K9" s="32" t="s">
        <v>802</v>
      </c>
      <c r="L9" s="32"/>
      <c r="M9" s="32"/>
      <c r="N9" s="32"/>
      <c r="O9" s="32"/>
      <c r="P9" s="32"/>
      <c r="Q9" s="32"/>
      <c r="R9" s="32"/>
      <c r="S9" s="32"/>
      <c r="T9" s="32" t="s">
        <v>164</v>
      </c>
      <c r="U9" s="32"/>
      <c r="V9" s="32"/>
      <c r="W9" s="32"/>
      <c r="X9" s="32" t="s">
        <v>179</v>
      </c>
      <c r="Y9" s="32" t="s">
        <v>507</v>
      </c>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t="s">
        <v>866</v>
      </c>
      <c r="CA9" s="32"/>
      <c r="CB9" s="32"/>
      <c r="CC9" s="32"/>
      <c r="CD9" s="32"/>
      <c r="CE9" s="32"/>
      <c r="CF9" s="32"/>
      <c r="CG9" s="32"/>
      <c r="CH9" s="32"/>
      <c r="CI9" s="32" t="s">
        <v>440</v>
      </c>
      <c r="CJ9" s="32"/>
      <c r="CK9" s="32"/>
      <c r="CL9" s="32"/>
      <c r="CM9" s="32" t="s">
        <v>480</v>
      </c>
      <c r="CN9" s="32" t="s">
        <v>508</v>
      </c>
      <c r="CO9" s="32"/>
      <c r="CP9" s="32"/>
      <c r="CQ9" s="32"/>
      <c r="CR9" s="32"/>
      <c r="CS9" s="32"/>
      <c r="CT9" s="32"/>
      <c r="CU9" s="32"/>
      <c r="CV9" s="32"/>
      <c r="CW9" s="32"/>
      <c r="CX9" s="32"/>
      <c r="CY9" s="32"/>
      <c r="CZ9" s="32"/>
      <c r="DA9" s="32"/>
      <c r="DB9" s="32"/>
      <c r="DC9" s="32"/>
      <c r="DD9" s="32"/>
      <c r="DE9" s="32"/>
      <c r="DF9" s="32"/>
      <c r="DG9" s="32"/>
      <c r="DH9" s="32"/>
      <c r="DI9" s="32"/>
      <c r="DJ9" s="33"/>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t="s">
        <v>1151</v>
      </c>
      <c r="EP9" t="s">
        <v>532</v>
      </c>
      <c r="EQ9" s="32"/>
      <c r="ER9" s="32"/>
      <c r="EU9" s="32" t="s">
        <v>1047</v>
      </c>
      <c r="EV9" s="32" t="s">
        <v>1060</v>
      </c>
      <c r="EW9" s="32"/>
      <c r="EX9" s="32"/>
      <c r="EY9" s="32"/>
      <c r="EZ9" s="32"/>
      <c r="FA9" s="32"/>
      <c r="FB9" s="32"/>
      <c r="FC9" s="32"/>
      <c r="FD9" s="32"/>
      <c r="FE9" s="32"/>
      <c r="FF9" s="32"/>
      <c r="FG9" s="32"/>
      <c r="FH9" s="32" t="s">
        <v>1060</v>
      </c>
      <c r="FI9" s="32"/>
      <c r="FJ9" s="32"/>
      <c r="FK9" s="32"/>
      <c r="FL9" s="32"/>
      <c r="FM9" s="32"/>
      <c r="FN9" s="32"/>
      <c r="FO9" s="32"/>
      <c r="FP9" s="32"/>
      <c r="FQ9" s="32"/>
      <c r="FR9" s="32"/>
      <c r="FS9" s="32"/>
      <c r="FT9" s="32" t="s">
        <v>991</v>
      </c>
      <c r="FU9" s="32" t="s">
        <v>992</v>
      </c>
      <c r="FV9" s="32"/>
      <c r="FW9" s="32"/>
      <c r="FX9" s="32" t="s">
        <v>1011</v>
      </c>
      <c r="FY9" s="51" t="s">
        <v>1026</v>
      </c>
      <c r="FZ9" s="51" t="s">
        <v>1037</v>
      </c>
      <c r="GA9" s="51" t="s">
        <v>1037</v>
      </c>
    </row>
    <row r="10" spans="1:183" ht="29.25" customHeight="1" x14ac:dyDescent="0.3">
      <c r="A10" s="4">
        <v>114627</v>
      </c>
      <c r="B10" s="31"/>
      <c r="C10" s="31" t="s">
        <v>1216</v>
      </c>
      <c r="D10" s="31"/>
      <c r="E10" s="31"/>
      <c r="F10" s="6" t="s">
        <v>18</v>
      </c>
      <c r="G10" s="31"/>
      <c r="H10" s="31"/>
      <c r="I10" s="31"/>
      <c r="J10" s="31"/>
      <c r="K10" s="32" t="s">
        <v>803</v>
      </c>
      <c r="L10" s="32"/>
      <c r="M10" s="32"/>
      <c r="N10" s="32"/>
      <c r="O10" s="32"/>
      <c r="P10" s="32"/>
      <c r="Q10" s="32"/>
      <c r="R10" s="32"/>
      <c r="S10" s="32"/>
      <c r="T10" s="32" t="s">
        <v>165</v>
      </c>
      <c r="U10" s="32"/>
      <c r="V10" s="32"/>
      <c r="W10" s="32"/>
      <c r="X10" s="32" t="s">
        <v>1168</v>
      </c>
      <c r="Y10" s="32" t="s">
        <v>1152</v>
      </c>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t="s">
        <v>867</v>
      </c>
      <c r="CA10" s="32"/>
      <c r="CB10" s="32"/>
      <c r="CC10" s="32"/>
      <c r="CD10" s="32"/>
      <c r="CE10" s="32"/>
      <c r="CF10" s="32"/>
      <c r="CG10" s="32"/>
      <c r="CH10" s="32"/>
      <c r="CI10" s="32" t="s">
        <v>442</v>
      </c>
      <c r="CJ10" s="32"/>
      <c r="CK10" s="32"/>
      <c r="CL10" s="32"/>
      <c r="CM10" s="32" t="s">
        <v>484</v>
      </c>
      <c r="CN10" s="32" t="s">
        <v>927</v>
      </c>
      <c r="CO10" s="32"/>
      <c r="CP10" s="32"/>
      <c r="CQ10" s="32"/>
      <c r="CR10" s="32"/>
      <c r="CS10" s="32"/>
      <c r="CT10" s="32"/>
      <c r="CU10" s="32"/>
      <c r="CV10" s="32"/>
      <c r="CW10" s="32"/>
      <c r="CX10" s="32"/>
      <c r="CY10" s="32"/>
      <c r="CZ10" s="32"/>
      <c r="DA10" s="32"/>
      <c r="DB10" s="32"/>
      <c r="DC10" s="32"/>
      <c r="DD10" s="32"/>
      <c r="DE10" s="32"/>
      <c r="DF10" s="32"/>
      <c r="DG10" s="32"/>
      <c r="DH10" s="32"/>
      <c r="DI10" s="32"/>
      <c r="DJ10" s="33"/>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t="s">
        <v>809</v>
      </c>
      <c r="EP10" t="s">
        <v>487</v>
      </c>
      <c r="EQ10" s="32"/>
      <c r="ER10" s="32"/>
      <c r="EU10" s="32" t="s">
        <v>1053</v>
      </c>
      <c r="EV10" s="32" t="s">
        <v>1061</v>
      </c>
      <c r="EW10" s="32"/>
      <c r="EX10" s="32"/>
      <c r="EY10" s="32"/>
      <c r="EZ10" s="32"/>
      <c r="FA10" s="32"/>
      <c r="FB10" s="32"/>
      <c r="FC10" s="32"/>
      <c r="FD10" s="32"/>
      <c r="FE10" s="32"/>
      <c r="FF10" s="32"/>
      <c r="FG10" s="32"/>
      <c r="FH10" s="32" t="s">
        <v>1061</v>
      </c>
      <c r="FI10" s="32"/>
      <c r="FJ10" s="32"/>
      <c r="FK10" s="32"/>
      <c r="FL10" s="32"/>
      <c r="FM10" s="32"/>
      <c r="FN10" s="32"/>
      <c r="FO10" s="32"/>
      <c r="FP10" s="32"/>
      <c r="FQ10" s="32"/>
      <c r="FR10" s="32"/>
      <c r="FS10" s="32"/>
      <c r="FT10" s="32" t="s">
        <v>974</v>
      </c>
      <c r="FU10" s="32" t="s">
        <v>975</v>
      </c>
      <c r="FV10" s="32"/>
      <c r="FW10" s="32"/>
      <c r="FX10" s="32" t="s">
        <v>1012</v>
      </c>
      <c r="FY10" s="51" t="s">
        <v>1027</v>
      </c>
      <c r="FZ10" s="51" t="s">
        <v>1205</v>
      </c>
      <c r="GA10" s="33" t="s">
        <v>1206</v>
      </c>
    </row>
    <row r="11" spans="1:183" ht="29.25" customHeight="1" x14ac:dyDescent="0.3">
      <c r="A11" s="4">
        <v>115669</v>
      </c>
      <c r="B11" s="31"/>
      <c r="C11" s="31" t="s">
        <v>1217</v>
      </c>
      <c r="D11" s="31"/>
      <c r="E11" s="31"/>
      <c r="F11" s="8" t="s">
        <v>93</v>
      </c>
      <c r="G11" s="31"/>
      <c r="H11" s="31"/>
      <c r="I11" s="31"/>
      <c r="J11" s="31"/>
      <c r="K11" s="32" t="s">
        <v>804</v>
      </c>
      <c r="L11" s="32"/>
      <c r="M11" s="32"/>
      <c r="N11" s="32"/>
      <c r="O11" s="32"/>
      <c r="P11" s="32"/>
      <c r="Q11" s="32"/>
      <c r="R11" s="32"/>
      <c r="S11" s="32"/>
      <c r="T11" s="32"/>
      <c r="U11" s="32"/>
      <c r="V11" s="32"/>
      <c r="W11" s="32"/>
      <c r="X11" s="32" t="s">
        <v>809</v>
      </c>
      <c r="Y11" s="32" t="s">
        <v>1159</v>
      </c>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t="s">
        <v>868</v>
      </c>
      <c r="CA11" s="32"/>
      <c r="CB11" s="32"/>
      <c r="CC11" s="32"/>
      <c r="CD11" s="32"/>
      <c r="CE11" s="32"/>
      <c r="CF11" s="32"/>
      <c r="CG11" s="32"/>
      <c r="CH11" s="32"/>
      <c r="CI11" s="32"/>
      <c r="CJ11" s="32"/>
      <c r="CK11" s="32"/>
      <c r="CL11" s="32"/>
      <c r="CM11" s="32" t="s">
        <v>487</v>
      </c>
      <c r="CN11" s="32" t="s">
        <v>928</v>
      </c>
      <c r="CO11" s="32"/>
      <c r="CP11" s="32"/>
      <c r="CQ11" s="32"/>
      <c r="CR11" s="32"/>
      <c r="CS11" s="32"/>
      <c r="CT11" s="32"/>
      <c r="CU11" s="32"/>
      <c r="CV11" s="32"/>
      <c r="CW11" s="32"/>
      <c r="CX11" s="32"/>
      <c r="CY11" s="32"/>
      <c r="CZ11" s="32"/>
      <c r="DA11" s="32"/>
      <c r="DB11" s="32"/>
      <c r="DC11" s="32"/>
      <c r="DD11" s="32"/>
      <c r="DE11" s="32"/>
      <c r="DF11" s="32"/>
      <c r="DG11" s="32"/>
      <c r="DH11" s="32"/>
      <c r="DI11" s="32"/>
      <c r="DJ11" s="33"/>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t="s">
        <v>808</v>
      </c>
      <c r="EP11" t="s">
        <v>477</v>
      </c>
      <c r="EQ11" s="32"/>
      <c r="ER11" s="32"/>
      <c r="EU11" s="32" t="s">
        <v>1048</v>
      </c>
      <c r="EV11" s="32" t="s">
        <v>1062</v>
      </c>
      <c r="EW11" s="32"/>
      <c r="EX11" s="32"/>
      <c r="EY11" s="32"/>
      <c r="EZ11" s="32"/>
      <c r="FA11" s="32"/>
      <c r="FB11" s="32"/>
      <c r="FC11" s="32"/>
      <c r="FD11" s="32"/>
      <c r="FE11" s="32"/>
      <c r="FF11" s="32"/>
      <c r="FG11" s="32"/>
      <c r="FH11" s="32" t="s">
        <v>1062</v>
      </c>
      <c r="FI11" s="32"/>
      <c r="FJ11" s="32"/>
      <c r="FK11" s="32"/>
      <c r="FL11" s="32"/>
      <c r="FM11" s="32"/>
      <c r="FN11" s="32"/>
      <c r="FO11" s="32"/>
      <c r="FP11" s="32"/>
      <c r="FQ11" s="32"/>
      <c r="FR11" s="32"/>
      <c r="FS11" s="32"/>
      <c r="FT11" s="32" t="s">
        <v>985</v>
      </c>
      <c r="FU11" s="32" t="s">
        <v>986</v>
      </c>
      <c r="FV11" s="32"/>
      <c r="FW11" s="32"/>
      <c r="FX11" s="32" t="s">
        <v>1013</v>
      </c>
      <c r="FY11" s="51" t="s">
        <v>1028</v>
      </c>
      <c r="FZ11" s="51"/>
    </row>
    <row r="12" spans="1:183" ht="29.25" customHeight="1" x14ac:dyDescent="0.3">
      <c r="A12" s="4">
        <v>117707</v>
      </c>
      <c r="B12" s="31"/>
      <c r="C12" s="31"/>
      <c r="D12" s="31"/>
      <c r="E12" s="31"/>
      <c r="F12" s="6" t="s">
        <v>17</v>
      </c>
      <c r="G12" s="31"/>
      <c r="H12" s="31"/>
      <c r="I12" s="31"/>
      <c r="J12" s="31"/>
      <c r="K12" s="32" t="s">
        <v>805</v>
      </c>
      <c r="L12" s="32"/>
      <c r="M12" s="32"/>
      <c r="N12" s="32"/>
      <c r="O12" s="32"/>
      <c r="P12" s="32"/>
      <c r="Q12" s="32"/>
      <c r="R12" s="32"/>
      <c r="S12" s="32"/>
      <c r="T12" s="32"/>
      <c r="U12" s="32"/>
      <c r="V12" s="32"/>
      <c r="W12" s="32"/>
      <c r="X12" s="32"/>
      <c r="Y12" s="32" t="s">
        <v>813</v>
      </c>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t="s">
        <v>869</v>
      </c>
      <c r="CA12" s="32"/>
      <c r="CB12" s="32"/>
      <c r="CC12" s="32"/>
      <c r="CD12" s="32"/>
      <c r="CE12" s="32"/>
      <c r="CF12" s="32"/>
      <c r="CG12" s="32"/>
      <c r="CH12" s="32"/>
      <c r="CI12" s="32"/>
      <c r="CJ12" s="32"/>
      <c r="CK12" s="32"/>
      <c r="CL12" s="32"/>
      <c r="CM12" s="32"/>
      <c r="CN12" s="32" t="s">
        <v>929</v>
      </c>
      <c r="CO12" s="32"/>
      <c r="CP12" s="32"/>
      <c r="CQ12" s="32"/>
      <c r="CR12" s="32"/>
      <c r="CS12" s="32"/>
      <c r="CT12" s="32"/>
      <c r="CU12" s="32"/>
      <c r="CV12" s="32"/>
      <c r="CW12" s="32"/>
      <c r="CX12" s="32"/>
      <c r="CY12" s="32"/>
      <c r="CZ12" s="32"/>
      <c r="DA12" s="32"/>
      <c r="DB12" s="32"/>
      <c r="DC12" s="32"/>
      <c r="DD12" s="32"/>
      <c r="DE12" s="32"/>
      <c r="DF12" s="32"/>
      <c r="DG12" s="32"/>
      <c r="DH12" s="32"/>
      <c r="DI12" s="32"/>
      <c r="DJ12" s="33"/>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t="s">
        <v>1168</v>
      </c>
      <c r="EP12" t="s">
        <v>484</v>
      </c>
      <c r="EQ12" s="32"/>
      <c r="ER12" s="32"/>
      <c r="EU12" s="32" t="s">
        <v>1049</v>
      </c>
      <c r="EV12" s="32" t="s">
        <v>1063</v>
      </c>
      <c r="EW12" s="32"/>
      <c r="EX12" s="32"/>
      <c r="EY12" s="32"/>
      <c r="EZ12" s="32"/>
      <c r="FA12" s="32"/>
      <c r="FB12" s="32"/>
      <c r="FC12" s="32"/>
      <c r="FD12" s="32"/>
      <c r="FE12" s="32"/>
      <c r="FF12" s="32"/>
      <c r="FG12" s="32"/>
      <c r="FH12" s="32" t="s">
        <v>1063</v>
      </c>
      <c r="FI12" s="32"/>
      <c r="FJ12" s="32"/>
      <c r="FK12" s="32"/>
      <c r="FL12" s="32"/>
      <c r="FM12" s="32"/>
      <c r="FN12" s="32"/>
      <c r="FO12" s="32"/>
      <c r="FP12" s="32"/>
      <c r="FQ12" s="32"/>
      <c r="FR12" s="32"/>
      <c r="FS12" s="32"/>
      <c r="FT12" s="32" t="s">
        <v>956</v>
      </c>
      <c r="FU12" s="32" t="s">
        <v>1148</v>
      </c>
      <c r="FV12" s="32"/>
      <c r="FW12" s="32"/>
      <c r="FX12" s="32" t="s">
        <v>1014</v>
      </c>
      <c r="FY12" s="51" t="s">
        <v>1029</v>
      </c>
      <c r="FZ12" s="51"/>
    </row>
    <row r="13" spans="1:183" ht="29.25" customHeight="1" x14ac:dyDescent="0.3">
      <c r="A13" s="4">
        <v>120007</v>
      </c>
      <c r="B13" s="31"/>
      <c r="C13" s="31"/>
      <c r="D13" s="31"/>
      <c r="E13" s="31"/>
      <c r="F13" s="8" t="s">
        <v>83</v>
      </c>
      <c r="G13" s="31"/>
      <c r="H13" s="31"/>
      <c r="I13" s="31"/>
      <c r="J13" s="31"/>
      <c r="K13" s="32" t="s">
        <v>806</v>
      </c>
      <c r="L13" s="32"/>
      <c r="M13" s="32"/>
      <c r="N13" s="32"/>
      <c r="O13" s="32"/>
      <c r="P13" s="32"/>
      <c r="Q13" s="32"/>
      <c r="R13" s="32"/>
      <c r="S13" s="32"/>
      <c r="T13" s="32"/>
      <c r="U13" s="32"/>
      <c r="V13" s="32"/>
      <c r="W13" s="32"/>
      <c r="X13" s="32"/>
      <c r="Y13" s="32" t="s">
        <v>1152</v>
      </c>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t="s">
        <v>870</v>
      </c>
      <c r="CA13" s="32"/>
      <c r="CB13" s="32"/>
      <c r="CC13" s="32"/>
      <c r="CD13" s="32"/>
      <c r="CE13" s="32"/>
      <c r="CF13" s="32"/>
      <c r="CG13" s="32"/>
      <c r="CH13" s="32"/>
      <c r="CI13" s="32"/>
      <c r="CJ13" s="32"/>
      <c r="CK13" s="32"/>
      <c r="CL13" s="32"/>
      <c r="CM13" s="32"/>
      <c r="CN13" s="32" t="s">
        <v>930</v>
      </c>
      <c r="CO13" s="32"/>
      <c r="CP13" s="32"/>
      <c r="CQ13" s="32"/>
      <c r="CR13" s="32"/>
      <c r="CS13" s="32"/>
      <c r="CT13" s="32"/>
      <c r="CU13" s="32"/>
      <c r="CV13" s="32"/>
      <c r="CW13" s="32"/>
      <c r="CX13" s="32"/>
      <c r="CY13" s="32"/>
      <c r="CZ13" s="32"/>
      <c r="DA13" s="32"/>
      <c r="DB13" s="32"/>
      <c r="DC13" s="32"/>
      <c r="DD13" s="32"/>
      <c r="DE13" s="32"/>
      <c r="DF13" s="32"/>
      <c r="DG13" s="32"/>
      <c r="DH13" s="32"/>
      <c r="DI13" s="32"/>
      <c r="DJ13" s="33"/>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t="s">
        <v>179</v>
      </c>
      <c r="EP13" t="s">
        <v>480</v>
      </c>
      <c r="EQ13" s="32"/>
      <c r="ER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t="s">
        <v>948</v>
      </c>
      <c r="FU13" s="32" t="s">
        <v>949</v>
      </c>
      <c r="FV13" s="32"/>
      <c r="FW13" s="32"/>
      <c r="FX13" s="32" t="s">
        <v>1015</v>
      </c>
      <c r="FY13" s="51" t="s">
        <v>1030</v>
      </c>
      <c r="FZ13" s="51"/>
    </row>
    <row r="14" spans="1:183" ht="29.25" customHeight="1" x14ac:dyDescent="0.3">
      <c r="A14" s="9">
        <v>123972</v>
      </c>
      <c r="B14" s="31"/>
      <c r="C14" s="31"/>
      <c r="D14" s="31"/>
      <c r="E14" s="31"/>
      <c r="F14" s="4" t="s">
        <v>34</v>
      </c>
      <c r="G14" s="31"/>
      <c r="H14" s="31"/>
      <c r="I14" s="31"/>
      <c r="J14" s="31"/>
      <c r="K14" s="32" t="s">
        <v>807</v>
      </c>
      <c r="L14" s="32"/>
      <c r="M14" s="32"/>
      <c r="N14" s="32"/>
      <c r="O14" s="32"/>
      <c r="P14" s="32"/>
      <c r="Q14" s="32"/>
      <c r="R14" s="32"/>
      <c r="S14" s="32"/>
      <c r="T14" s="32"/>
      <c r="U14" s="32"/>
      <c r="V14" s="32"/>
      <c r="W14" s="32"/>
      <c r="X14" s="32"/>
      <c r="Y14" s="32" t="s">
        <v>1225</v>
      </c>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t="s">
        <v>871</v>
      </c>
      <c r="CA14" s="32"/>
      <c r="CB14" s="32"/>
      <c r="CC14" s="32"/>
      <c r="CD14" s="32"/>
      <c r="CE14" s="32"/>
      <c r="CF14" s="32"/>
      <c r="CG14" s="32"/>
      <c r="CH14" s="32"/>
      <c r="CI14" s="32"/>
      <c r="CJ14" s="32"/>
      <c r="CK14" s="32"/>
      <c r="CL14" s="32"/>
      <c r="CM14" s="32"/>
      <c r="CN14" s="32" t="s">
        <v>1226</v>
      </c>
      <c r="CO14" s="32"/>
      <c r="CP14" s="32"/>
      <c r="CQ14" s="32"/>
      <c r="CR14" s="32"/>
      <c r="CS14" s="32"/>
      <c r="CT14" s="32"/>
      <c r="CU14" s="32"/>
      <c r="CV14" s="32"/>
      <c r="CW14" s="32"/>
      <c r="CX14" s="32"/>
      <c r="CY14" s="32"/>
      <c r="CZ14" s="32"/>
      <c r="DA14" s="32"/>
      <c r="DB14" s="32"/>
      <c r="DC14" s="32"/>
      <c r="DD14" s="32"/>
      <c r="DE14" s="32"/>
      <c r="DF14" s="32"/>
      <c r="DG14" s="32"/>
      <c r="DH14" s="32"/>
      <c r="DI14" s="32"/>
      <c r="DJ14" s="33"/>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t="s">
        <v>165</v>
      </c>
      <c r="EP14" t="s">
        <v>442</v>
      </c>
      <c r="EQ14" s="32"/>
      <c r="ER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t="s">
        <v>981</v>
      </c>
      <c r="FU14" s="32" t="s">
        <v>1204</v>
      </c>
      <c r="FV14" s="32"/>
      <c r="FW14" s="32"/>
      <c r="FX14" s="32" t="s">
        <v>1016</v>
      </c>
      <c r="FY14" s="51" t="s">
        <v>1031</v>
      </c>
      <c r="FZ14" s="51"/>
    </row>
    <row r="15" spans="1:183" ht="29.25" customHeight="1" x14ac:dyDescent="0.3">
      <c r="A15" s="9">
        <v>125076</v>
      </c>
      <c r="B15" s="31"/>
      <c r="C15" s="31"/>
      <c r="D15" s="31"/>
      <c r="E15" s="31"/>
      <c r="F15" s="8" t="s">
        <v>66</v>
      </c>
      <c r="G15" s="31"/>
      <c r="H15" s="31"/>
      <c r="I15" s="31"/>
      <c r="J15" s="31"/>
      <c r="K15" s="32" t="s">
        <v>810</v>
      </c>
      <c r="L15" s="32"/>
      <c r="M15" s="32"/>
      <c r="N15" s="32"/>
      <c r="O15" s="32"/>
      <c r="P15" s="32"/>
      <c r="Q15" s="32"/>
      <c r="R15" s="32"/>
      <c r="S15" s="32"/>
      <c r="T15" s="32"/>
      <c r="U15" s="32"/>
      <c r="V15" s="32"/>
      <c r="W15" s="32"/>
      <c r="X15" s="32"/>
      <c r="Y15" s="32" t="s">
        <v>185</v>
      </c>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t="s">
        <v>872</v>
      </c>
      <c r="CA15" s="32"/>
      <c r="CB15" s="32"/>
      <c r="CC15" s="32"/>
      <c r="CD15" s="32"/>
      <c r="CE15" s="32"/>
      <c r="CF15" s="32"/>
      <c r="CG15" s="32"/>
      <c r="CH15" s="32"/>
      <c r="CI15" s="32"/>
      <c r="CJ15" s="32"/>
      <c r="CK15" s="32"/>
      <c r="CL15" s="32"/>
      <c r="CM15" s="32"/>
      <c r="CN15" s="32" t="s">
        <v>523</v>
      </c>
      <c r="CO15" s="32"/>
      <c r="CP15" s="32"/>
      <c r="CQ15" s="32"/>
      <c r="CR15" s="32"/>
      <c r="CS15" s="32"/>
      <c r="CT15" s="32"/>
      <c r="CU15" s="32"/>
      <c r="CV15" s="32"/>
      <c r="CW15" s="32"/>
      <c r="CX15" s="32"/>
      <c r="CY15" s="32"/>
      <c r="CZ15" s="32"/>
      <c r="DA15" s="32"/>
      <c r="DB15" s="32"/>
      <c r="DC15" s="32"/>
      <c r="DD15" s="32"/>
      <c r="DE15" s="32"/>
      <c r="DF15" s="32"/>
      <c r="DG15" s="32"/>
      <c r="DH15" s="32"/>
      <c r="DI15" s="32"/>
      <c r="DJ15" s="33"/>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t="s">
        <v>1169</v>
      </c>
      <c r="EP15" t="s">
        <v>497</v>
      </c>
      <c r="EQ15" s="32"/>
      <c r="ER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t="s">
        <v>946</v>
      </c>
      <c r="FU15" s="32" t="s">
        <v>947</v>
      </c>
      <c r="FV15" s="32"/>
      <c r="FW15" s="32"/>
      <c r="FX15" s="32" t="s">
        <v>1017</v>
      </c>
      <c r="FY15" s="51" t="s">
        <v>1032</v>
      </c>
      <c r="FZ15" s="51"/>
    </row>
    <row r="16" spans="1:183" ht="29.25" customHeight="1" x14ac:dyDescent="0.3">
      <c r="A16" s="4">
        <v>131479</v>
      </c>
      <c r="B16" s="31"/>
      <c r="C16" s="31"/>
      <c r="D16" s="31"/>
      <c r="E16" s="31"/>
      <c r="F16" s="8" t="s">
        <v>121</v>
      </c>
      <c r="G16" s="31"/>
      <c r="H16" s="31"/>
      <c r="I16" s="31"/>
      <c r="J16" s="31"/>
      <c r="K16" s="32" t="s">
        <v>815</v>
      </c>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6"/>
      <c r="AM16" s="6"/>
      <c r="AN16" s="6"/>
      <c r="AO16" s="6"/>
      <c r="AP16" s="6"/>
      <c r="AQ16" s="6"/>
      <c r="AR16" s="6"/>
      <c r="AS16" s="6"/>
      <c r="AT16" s="6"/>
      <c r="AU16" s="6"/>
      <c r="AV16" s="6"/>
      <c r="AW16" s="6"/>
      <c r="AX16" s="6"/>
      <c r="AY16" s="6"/>
      <c r="AZ16" s="6"/>
      <c r="BA16" s="6"/>
      <c r="BB16" s="6"/>
      <c r="BC16" s="6"/>
      <c r="BD16" s="6"/>
      <c r="BE16" s="32"/>
      <c r="BF16" s="6"/>
      <c r="BG16" s="6"/>
      <c r="BH16" s="6"/>
      <c r="BI16" s="6"/>
      <c r="BJ16" s="6"/>
      <c r="BK16" s="6"/>
      <c r="BL16" s="6"/>
      <c r="BM16" s="6"/>
      <c r="BN16" s="6"/>
      <c r="BO16" s="6"/>
      <c r="BP16" s="6"/>
      <c r="BQ16" s="6"/>
      <c r="BR16" s="6"/>
      <c r="BS16" s="6"/>
      <c r="BT16" s="6"/>
      <c r="BU16" s="6"/>
      <c r="BV16" s="32"/>
      <c r="BW16" s="6"/>
      <c r="BX16" s="6"/>
      <c r="BY16" s="6"/>
      <c r="BZ16" s="32" t="s">
        <v>873</v>
      </c>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3"/>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t="s">
        <v>1129</v>
      </c>
      <c r="EP16" t="s">
        <v>490</v>
      </c>
      <c r="EQ16" s="32"/>
      <c r="ER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t="s">
        <v>964</v>
      </c>
      <c r="FU16" s="32" t="s">
        <v>1163</v>
      </c>
      <c r="FV16" s="32"/>
      <c r="FW16" s="32"/>
      <c r="FX16" s="32" t="s">
        <v>1018</v>
      </c>
      <c r="FY16" s="51" t="s">
        <v>1033</v>
      </c>
      <c r="FZ16" s="51"/>
    </row>
    <row r="17" spans="1:182" ht="29.25" customHeight="1" x14ac:dyDescent="0.3">
      <c r="A17" s="4">
        <v>131590</v>
      </c>
      <c r="B17" s="31"/>
      <c r="C17" s="31"/>
      <c r="D17" s="31"/>
      <c r="E17" s="31"/>
      <c r="F17" s="4" t="s">
        <v>86</v>
      </c>
      <c r="G17" s="31"/>
      <c r="H17" s="31"/>
      <c r="I17" s="31"/>
      <c r="J17" s="31"/>
      <c r="K17" s="32" t="s">
        <v>816</v>
      </c>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32"/>
      <c r="BW17" s="6"/>
      <c r="BX17" s="6"/>
      <c r="BY17" s="6"/>
      <c r="BZ17" s="32" t="s">
        <v>874</v>
      </c>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3"/>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t="s">
        <v>505</v>
      </c>
      <c r="EP17" t="s">
        <v>506</v>
      </c>
      <c r="EQ17" s="32"/>
      <c r="ER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t="s">
        <v>952</v>
      </c>
      <c r="FU17" s="32" t="s">
        <v>953</v>
      </c>
      <c r="FV17" s="32"/>
      <c r="FW17" s="32"/>
      <c r="FX17" s="95" t="s">
        <v>1220</v>
      </c>
      <c r="FY17" s="98" t="s">
        <v>1221</v>
      </c>
      <c r="FZ17" s="51"/>
    </row>
    <row r="18" spans="1:182" ht="29.25" customHeight="1" x14ac:dyDescent="0.3">
      <c r="A18" s="4">
        <v>132036</v>
      </c>
      <c r="B18" s="31"/>
      <c r="C18" s="31"/>
      <c r="D18" s="31"/>
      <c r="E18" s="31"/>
      <c r="F18" s="8" t="s">
        <v>98</v>
      </c>
      <c r="G18" s="31"/>
      <c r="H18" s="31"/>
      <c r="I18" s="31"/>
      <c r="J18" s="31"/>
      <c r="K18" s="32" t="s">
        <v>817</v>
      </c>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5"/>
      <c r="AM18" s="5"/>
      <c r="AN18" s="5"/>
      <c r="AO18" s="5"/>
      <c r="AP18" s="5"/>
      <c r="AQ18" s="5"/>
      <c r="AR18" s="5"/>
      <c r="AS18" s="5"/>
      <c r="AT18" s="5"/>
      <c r="AU18" s="5"/>
      <c r="AV18" s="5"/>
      <c r="AW18" s="5"/>
      <c r="AX18" s="5"/>
      <c r="AY18" s="5"/>
      <c r="AZ18" s="5"/>
      <c r="BA18" s="5"/>
      <c r="BB18" s="5"/>
      <c r="BC18" s="5"/>
      <c r="BD18" s="5"/>
      <c r="BE18" s="6"/>
      <c r="BF18" s="5"/>
      <c r="BG18" s="5"/>
      <c r="BH18" s="5"/>
      <c r="BI18" s="5"/>
      <c r="BJ18" s="5"/>
      <c r="BK18" s="5"/>
      <c r="BL18" s="5"/>
      <c r="BM18" s="5"/>
      <c r="BN18" s="5"/>
      <c r="BO18" s="5"/>
      <c r="BP18" s="5"/>
      <c r="BQ18" s="5"/>
      <c r="BR18" s="5"/>
      <c r="BS18" s="5"/>
      <c r="BT18" s="5"/>
      <c r="BU18" s="5"/>
      <c r="BV18" s="6"/>
      <c r="BW18" s="5"/>
      <c r="BX18" s="5"/>
      <c r="BY18" s="5"/>
      <c r="BZ18" s="32" t="s">
        <v>875</v>
      </c>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3"/>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t="s">
        <v>182</v>
      </c>
      <c r="EP18" t="s">
        <v>500</v>
      </c>
      <c r="EQ18" s="32"/>
      <c r="ER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t="s">
        <v>970</v>
      </c>
      <c r="FU18" s="32" t="s">
        <v>971</v>
      </c>
      <c r="FV18" s="32"/>
      <c r="FW18" s="32"/>
      <c r="FX18" s="99" t="s">
        <v>1222</v>
      </c>
      <c r="FY18" s="98" t="s">
        <v>1223</v>
      </c>
      <c r="FZ18" s="51"/>
    </row>
    <row r="19" spans="1:182" ht="29.25" customHeight="1" x14ac:dyDescent="0.3">
      <c r="A19" s="4">
        <v>132547</v>
      </c>
      <c r="B19" s="31"/>
      <c r="C19" s="31"/>
      <c r="D19" s="31"/>
      <c r="E19" s="31"/>
      <c r="F19" s="8" t="s">
        <v>61</v>
      </c>
      <c r="G19" s="31"/>
      <c r="H19" s="31"/>
      <c r="I19" s="31"/>
      <c r="J19" s="31"/>
      <c r="K19" s="32" t="s">
        <v>818</v>
      </c>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7"/>
      <c r="AM19" s="7"/>
      <c r="AN19" s="7"/>
      <c r="AO19" s="7"/>
      <c r="AP19" s="7"/>
      <c r="AQ19" s="7"/>
      <c r="AR19" s="7"/>
      <c r="AS19" s="7"/>
      <c r="AT19" s="7"/>
      <c r="AU19" s="7"/>
      <c r="AV19" s="7"/>
      <c r="AW19" s="7"/>
      <c r="AX19" s="7"/>
      <c r="AY19" s="7"/>
      <c r="AZ19" s="7"/>
      <c r="BA19" s="7"/>
      <c r="BB19" s="7"/>
      <c r="BC19" s="7"/>
      <c r="BD19" s="7"/>
      <c r="BE19" s="5"/>
      <c r="BF19" s="7"/>
      <c r="BG19" s="7"/>
      <c r="BH19" s="7"/>
      <c r="BI19" s="7"/>
      <c r="BJ19" s="7"/>
      <c r="BK19" s="7"/>
      <c r="BL19" s="7"/>
      <c r="BM19" s="7"/>
      <c r="BN19" s="7"/>
      <c r="BO19" s="7"/>
      <c r="BP19" s="7"/>
      <c r="BQ19" s="7"/>
      <c r="BR19" s="7"/>
      <c r="BS19" s="7"/>
      <c r="BT19" s="7"/>
      <c r="BU19" s="7"/>
      <c r="BV19" s="6"/>
      <c r="BW19" s="7"/>
      <c r="BX19" s="7"/>
      <c r="BY19" s="7"/>
      <c r="BZ19" s="32" t="s">
        <v>876</v>
      </c>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3"/>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t="s">
        <v>1170</v>
      </c>
      <c r="EP19" t="s">
        <v>493</v>
      </c>
      <c r="EQ19" s="32"/>
      <c r="ER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t="s">
        <v>940</v>
      </c>
      <c r="FU19" s="32" t="s">
        <v>1147</v>
      </c>
      <c r="FV19" s="32"/>
      <c r="FW19" s="32"/>
      <c r="FX19" s="32"/>
      <c r="FY19" s="51"/>
      <c r="FZ19" s="51"/>
    </row>
    <row r="20" spans="1:182" ht="29.25" customHeight="1" x14ac:dyDescent="0.3">
      <c r="A20" s="4">
        <v>133919</v>
      </c>
      <c r="B20" s="31"/>
      <c r="C20" s="31"/>
      <c r="D20" s="31"/>
      <c r="E20" s="31"/>
      <c r="F20" s="8" t="s">
        <v>119</v>
      </c>
      <c r="G20" s="31"/>
      <c r="H20" s="31"/>
      <c r="I20" s="31"/>
      <c r="J20" s="31"/>
      <c r="K20" s="32" t="s">
        <v>819</v>
      </c>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4"/>
      <c r="AM20" s="4"/>
      <c r="AN20" s="4"/>
      <c r="AO20" s="4"/>
      <c r="AP20" s="4"/>
      <c r="AQ20" s="4"/>
      <c r="AR20" s="4"/>
      <c r="AS20" s="4"/>
      <c r="AT20" s="4"/>
      <c r="AU20" s="4"/>
      <c r="AV20" s="4"/>
      <c r="AW20" s="4"/>
      <c r="AX20" s="4"/>
      <c r="AY20" s="4"/>
      <c r="AZ20" s="4"/>
      <c r="BA20" s="4"/>
      <c r="BB20" s="4"/>
      <c r="BC20" s="4"/>
      <c r="BD20" s="4"/>
      <c r="BE20" s="7"/>
      <c r="BF20" s="4"/>
      <c r="BG20" s="4"/>
      <c r="BH20" s="4"/>
      <c r="BI20" s="4"/>
      <c r="BJ20" s="4"/>
      <c r="BK20" s="4"/>
      <c r="BL20" s="4"/>
      <c r="BM20" s="4"/>
      <c r="BN20" s="4"/>
      <c r="BO20" s="4"/>
      <c r="BP20" s="4"/>
      <c r="BQ20" s="4"/>
      <c r="BR20" s="4"/>
      <c r="BS20" s="4"/>
      <c r="BT20" s="4"/>
      <c r="BU20" s="4"/>
      <c r="BV20" s="5"/>
      <c r="BW20" s="4"/>
      <c r="BX20" s="4"/>
      <c r="BY20" s="4"/>
      <c r="BZ20" s="32" t="s">
        <v>877</v>
      </c>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3"/>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t="s">
        <v>507</v>
      </c>
      <c r="EP20" t="s">
        <v>508</v>
      </c>
      <c r="EQ20" s="32"/>
      <c r="ER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t="s">
        <v>1155</v>
      </c>
      <c r="FU20" s="32" t="s">
        <v>994</v>
      </c>
      <c r="FV20" s="32"/>
      <c r="FW20" s="32"/>
      <c r="FX20" s="32"/>
      <c r="FY20" s="51"/>
      <c r="FZ20" s="51"/>
    </row>
    <row r="21" spans="1:182" ht="29.25" customHeight="1" x14ac:dyDescent="0.3">
      <c r="A21" s="4">
        <v>135098</v>
      </c>
      <c r="B21" s="31"/>
      <c r="C21" s="31"/>
      <c r="D21" s="31"/>
      <c r="E21" s="31"/>
      <c r="F21" s="8" t="s">
        <v>114</v>
      </c>
      <c r="G21" s="31"/>
      <c r="H21" s="31"/>
      <c r="I21" s="31"/>
      <c r="J21" s="31"/>
      <c r="K21" s="32" t="s">
        <v>820</v>
      </c>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7"/>
      <c r="BW21" s="4"/>
      <c r="BX21" s="4"/>
      <c r="BY21" s="4"/>
      <c r="BZ21" s="32" t="s">
        <v>878</v>
      </c>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3"/>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t="s">
        <v>503</v>
      </c>
      <c r="EP21" t="s">
        <v>504</v>
      </c>
      <c r="EQ21" s="32"/>
      <c r="ER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t="s">
        <v>999</v>
      </c>
      <c r="FU21" s="32" t="s">
        <v>1000</v>
      </c>
      <c r="FV21" s="32"/>
      <c r="FW21" s="32"/>
      <c r="FX21" s="32"/>
      <c r="FY21" s="51"/>
      <c r="FZ21" s="51"/>
    </row>
    <row r="22" spans="1:182" ht="29.25" customHeight="1" x14ac:dyDescent="0.3">
      <c r="A22" s="4">
        <v>135123</v>
      </c>
      <c r="B22" s="31"/>
      <c r="C22" s="31"/>
      <c r="D22" s="31"/>
      <c r="E22" s="31"/>
      <c r="F22" s="4" t="s">
        <v>57</v>
      </c>
      <c r="G22" s="31"/>
      <c r="H22" s="31"/>
      <c r="I22" s="31"/>
      <c r="J22" s="31"/>
      <c r="K22" s="32" t="s">
        <v>821</v>
      </c>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7"/>
      <c r="AM22" s="7"/>
      <c r="AN22" s="7"/>
      <c r="AO22" s="7"/>
      <c r="AP22" s="7"/>
      <c r="AQ22" s="7"/>
      <c r="AR22" s="7"/>
      <c r="AS22" s="7"/>
      <c r="AT22" s="7"/>
      <c r="AU22" s="7"/>
      <c r="AV22" s="7"/>
      <c r="AW22" s="7"/>
      <c r="AX22" s="7"/>
      <c r="AY22" s="7"/>
      <c r="AZ22" s="7"/>
      <c r="BA22" s="7"/>
      <c r="BB22" s="7"/>
      <c r="BC22" s="7"/>
      <c r="BD22" s="7"/>
      <c r="BE22" s="4"/>
      <c r="BF22" s="7"/>
      <c r="BG22" s="7"/>
      <c r="BH22" s="7"/>
      <c r="BI22" s="7"/>
      <c r="BJ22" s="7"/>
      <c r="BK22" s="7"/>
      <c r="BL22" s="7"/>
      <c r="BM22" s="7"/>
      <c r="BN22" s="7"/>
      <c r="BO22" s="7"/>
      <c r="BP22" s="7"/>
      <c r="BQ22" s="7"/>
      <c r="BR22" s="7"/>
      <c r="BS22" s="7"/>
      <c r="BT22" s="7"/>
      <c r="BU22" s="7"/>
      <c r="BV22" s="4"/>
      <c r="BW22" s="7"/>
      <c r="BX22" s="7"/>
      <c r="BY22" s="7"/>
      <c r="BZ22" s="32" t="s">
        <v>879</v>
      </c>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3"/>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t="s">
        <v>1171</v>
      </c>
      <c r="EP22" t="s">
        <v>494</v>
      </c>
      <c r="EQ22" s="32"/>
      <c r="ER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t="s">
        <v>944</v>
      </c>
      <c r="FU22" s="32" t="s">
        <v>945</v>
      </c>
      <c r="FV22" s="32"/>
      <c r="FW22" s="32"/>
      <c r="FX22" s="32"/>
      <c r="FY22" s="51"/>
      <c r="FZ22" s="51"/>
    </row>
    <row r="23" spans="1:182" ht="29.25" customHeight="1" x14ac:dyDescent="0.3">
      <c r="A23" s="4">
        <v>135150</v>
      </c>
      <c r="B23" s="31"/>
      <c r="C23" s="31"/>
      <c r="D23" s="31"/>
      <c r="E23" s="31"/>
      <c r="F23" s="4" t="s">
        <v>53</v>
      </c>
      <c r="G23" s="31"/>
      <c r="H23" s="31"/>
      <c r="I23" s="31"/>
      <c r="J23" s="31"/>
      <c r="K23" s="32" t="s">
        <v>822</v>
      </c>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4"/>
      <c r="AM23" s="4"/>
      <c r="AN23" s="4"/>
      <c r="AO23" s="4"/>
      <c r="AP23" s="4"/>
      <c r="AQ23" s="4"/>
      <c r="AR23" s="4"/>
      <c r="AS23" s="4"/>
      <c r="AT23" s="4"/>
      <c r="AU23" s="4"/>
      <c r="AV23" s="4"/>
      <c r="AW23" s="4"/>
      <c r="AX23" s="4"/>
      <c r="AY23" s="4"/>
      <c r="AZ23" s="4"/>
      <c r="BA23" s="4"/>
      <c r="BB23" s="4"/>
      <c r="BC23" s="4"/>
      <c r="BD23" s="4"/>
      <c r="BE23" s="7"/>
      <c r="BF23" s="4"/>
      <c r="BG23" s="4"/>
      <c r="BH23" s="4"/>
      <c r="BI23" s="4"/>
      <c r="BJ23" s="4"/>
      <c r="BK23" s="4"/>
      <c r="BL23" s="4"/>
      <c r="BM23" s="4"/>
      <c r="BN23" s="4"/>
      <c r="BO23" s="4"/>
      <c r="BP23" s="4"/>
      <c r="BQ23" s="4"/>
      <c r="BR23" s="4"/>
      <c r="BS23" s="4"/>
      <c r="BT23" s="4"/>
      <c r="BU23" s="4"/>
      <c r="BV23" s="4"/>
      <c r="BW23" s="4"/>
      <c r="BX23" s="4"/>
      <c r="BY23" s="4"/>
      <c r="BZ23" s="32" t="s">
        <v>880</v>
      </c>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3"/>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t="s">
        <v>1172</v>
      </c>
      <c r="EP23" t="s">
        <v>457</v>
      </c>
      <c r="EQ23" s="32"/>
      <c r="ER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t="s">
        <v>997</v>
      </c>
      <c r="FU23" s="32" t="s">
        <v>998</v>
      </c>
      <c r="FV23" s="32"/>
      <c r="FW23" s="32"/>
      <c r="FX23" s="32"/>
      <c r="FY23" s="51"/>
      <c r="FZ23" s="51"/>
    </row>
    <row r="24" spans="1:182" ht="29.25" customHeight="1" x14ac:dyDescent="0.3">
      <c r="A24" s="4">
        <v>135363</v>
      </c>
      <c r="B24" s="31"/>
      <c r="C24" s="31"/>
      <c r="D24" s="31"/>
      <c r="E24" s="31"/>
      <c r="F24" s="8" t="s">
        <v>27</v>
      </c>
      <c r="G24" s="31"/>
      <c r="H24" s="31"/>
      <c r="I24" s="31"/>
      <c r="J24" s="31"/>
      <c r="K24" s="32" t="s">
        <v>823</v>
      </c>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7"/>
      <c r="BW24" s="4"/>
      <c r="BX24" s="4"/>
      <c r="BY24" s="4"/>
      <c r="BZ24" s="32" t="s">
        <v>881</v>
      </c>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3"/>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t="s">
        <v>174</v>
      </c>
      <c r="EP24" t="s">
        <v>464</v>
      </c>
      <c r="EQ24" s="32"/>
      <c r="ER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t="s">
        <v>1164</v>
      </c>
      <c r="FU24" s="32" t="s">
        <v>1165</v>
      </c>
      <c r="FV24" s="32"/>
      <c r="FW24" s="32"/>
      <c r="FX24" s="32"/>
      <c r="FY24" s="51"/>
      <c r="FZ24" s="51"/>
    </row>
    <row r="25" spans="1:182" ht="29.25" customHeight="1" x14ac:dyDescent="0.3">
      <c r="A25" s="4">
        <v>135444</v>
      </c>
      <c r="B25" s="31"/>
      <c r="C25" s="31"/>
      <c r="D25" s="31"/>
      <c r="E25" s="31"/>
      <c r="F25" s="4" t="s">
        <v>45</v>
      </c>
      <c r="G25" s="31"/>
      <c r="H25" s="31"/>
      <c r="I25" s="31"/>
      <c r="J25" s="31"/>
      <c r="K25" s="32" t="s">
        <v>824</v>
      </c>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7"/>
      <c r="AM25" s="7"/>
      <c r="AN25" s="7"/>
      <c r="AO25" s="7"/>
      <c r="AP25" s="7"/>
      <c r="AQ25" s="7"/>
      <c r="AR25" s="7"/>
      <c r="AS25" s="7"/>
      <c r="AT25" s="7"/>
      <c r="AU25" s="7"/>
      <c r="AV25" s="7"/>
      <c r="AW25" s="7"/>
      <c r="AX25" s="7"/>
      <c r="AY25" s="7"/>
      <c r="AZ25" s="7"/>
      <c r="BA25" s="7"/>
      <c r="BB25" s="7"/>
      <c r="BC25" s="7"/>
      <c r="BD25" s="7"/>
      <c r="BE25" s="4"/>
      <c r="BF25" s="7"/>
      <c r="BG25" s="7"/>
      <c r="BH25" s="7"/>
      <c r="BI25" s="7"/>
      <c r="BJ25" s="7"/>
      <c r="BK25" s="7"/>
      <c r="BL25" s="7"/>
      <c r="BM25" s="7"/>
      <c r="BN25" s="7"/>
      <c r="BO25" s="7"/>
      <c r="BP25" s="7"/>
      <c r="BQ25" s="7"/>
      <c r="BR25" s="7"/>
      <c r="BS25" s="7"/>
      <c r="BT25" s="7"/>
      <c r="BU25" s="7"/>
      <c r="BV25" s="4"/>
      <c r="BW25" s="7"/>
      <c r="BX25" s="7"/>
      <c r="BY25" s="7"/>
      <c r="BZ25" s="32" t="s">
        <v>882</v>
      </c>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3"/>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t="s">
        <v>173</v>
      </c>
      <c r="EP25" t="s">
        <v>460</v>
      </c>
      <c r="EQ25" s="32"/>
      <c r="ER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51"/>
      <c r="FZ25" s="51"/>
    </row>
    <row r="26" spans="1:182" ht="29.25" customHeight="1" x14ac:dyDescent="0.3">
      <c r="A26" s="4">
        <v>135797</v>
      </c>
      <c r="B26" s="31"/>
      <c r="C26" s="31"/>
      <c r="D26" s="31"/>
      <c r="E26" s="31"/>
      <c r="F26" s="4" t="s">
        <v>35</v>
      </c>
      <c r="G26" s="31"/>
      <c r="H26" s="31"/>
      <c r="I26" s="31"/>
      <c r="J26" s="31"/>
      <c r="K26" s="32" t="s">
        <v>825</v>
      </c>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4"/>
      <c r="BW26" s="7"/>
      <c r="BX26" s="7"/>
      <c r="BY26" s="7"/>
      <c r="BZ26" s="32" t="s">
        <v>883</v>
      </c>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3"/>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t="s">
        <v>176</v>
      </c>
      <c r="EP26" t="s">
        <v>473</v>
      </c>
      <c r="EQ26" s="32"/>
      <c r="ER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51"/>
      <c r="FZ26" s="51"/>
    </row>
    <row r="27" spans="1:182" ht="29.25" customHeight="1" x14ac:dyDescent="0.3">
      <c r="A27" s="4">
        <v>137282</v>
      </c>
      <c r="B27" s="31"/>
      <c r="C27" s="31"/>
      <c r="D27" s="31"/>
      <c r="E27" s="31"/>
      <c r="F27" s="8" t="s">
        <v>63</v>
      </c>
      <c r="G27" s="31"/>
      <c r="H27" s="31"/>
      <c r="I27" s="31"/>
      <c r="J27" s="31"/>
      <c r="K27" s="32" t="s">
        <v>377</v>
      </c>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32" t="s">
        <v>884</v>
      </c>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3"/>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t="s">
        <v>1173</v>
      </c>
      <c r="EP27" t="s">
        <v>468</v>
      </c>
      <c r="EQ27" s="32"/>
      <c r="ER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Z27" s="51"/>
    </row>
    <row r="28" spans="1:182" ht="29.25" customHeight="1" x14ac:dyDescent="0.3">
      <c r="A28" s="4">
        <v>137369</v>
      </c>
      <c r="B28" s="31"/>
      <c r="C28" s="31"/>
      <c r="D28" s="31"/>
      <c r="E28" s="31"/>
      <c r="F28" s="8" t="s">
        <v>71</v>
      </c>
      <c r="G28" s="31"/>
      <c r="H28" s="31"/>
      <c r="I28" s="31"/>
      <c r="J28" s="31"/>
      <c r="K28" s="32" t="s">
        <v>826</v>
      </c>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32" t="s">
        <v>885</v>
      </c>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3"/>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t="s">
        <v>177</v>
      </c>
      <c r="EP28" t="s">
        <v>474</v>
      </c>
      <c r="EQ28" s="32"/>
      <c r="ER28" s="32"/>
      <c r="FH28" s="48"/>
      <c r="FI28" s="48"/>
      <c r="FJ28" s="48"/>
      <c r="FK28" s="48"/>
      <c r="FL28" s="48"/>
      <c r="FM28" s="48"/>
      <c r="FN28" s="48"/>
      <c r="FO28" s="48"/>
      <c r="FP28" s="48"/>
      <c r="FQ28" s="48"/>
      <c r="FR28" s="48"/>
      <c r="FS28" s="48"/>
      <c r="FT28" s="48"/>
      <c r="FU28" s="48"/>
      <c r="FV28" s="48"/>
    </row>
    <row r="29" spans="1:182" ht="29.25" customHeight="1" x14ac:dyDescent="0.3">
      <c r="A29" s="4">
        <v>137655</v>
      </c>
      <c r="B29" s="31"/>
      <c r="C29" s="31"/>
      <c r="D29" s="31"/>
      <c r="E29" s="31"/>
      <c r="F29" s="8" t="s">
        <v>120</v>
      </c>
      <c r="G29" s="31"/>
      <c r="H29" s="31"/>
      <c r="I29" s="31"/>
      <c r="J29" s="31"/>
      <c r="K29" s="32" t="s">
        <v>827</v>
      </c>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32" t="s">
        <v>886</v>
      </c>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3"/>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t="s">
        <v>175</v>
      </c>
      <c r="EP29" t="s">
        <v>471</v>
      </c>
      <c r="EQ29" s="32"/>
      <c r="ER29" s="32"/>
    </row>
    <row r="30" spans="1:182" ht="29.25" customHeight="1" x14ac:dyDescent="0.3">
      <c r="A30" s="4">
        <v>138788</v>
      </c>
      <c r="B30" s="31"/>
      <c r="C30" s="31"/>
      <c r="D30" s="31"/>
      <c r="E30" s="31"/>
      <c r="F30" s="8" t="s">
        <v>82</v>
      </c>
      <c r="G30" s="31"/>
      <c r="H30" s="31"/>
      <c r="I30" s="31"/>
      <c r="J30" s="31"/>
      <c r="K30" s="32" t="s">
        <v>828</v>
      </c>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32" t="s">
        <v>887</v>
      </c>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3"/>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t="s">
        <v>1135</v>
      </c>
      <c r="EP30" t="s">
        <v>449</v>
      </c>
      <c r="EQ30" s="32"/>
      <c r="ER30" s="32"/>
    </row>
    <row r="31" spans="1:182" ht="29.25" customHeight="1" x14ac:dyDescent="0.3">
      <c r="A31" s="4">
        <v>138881</v>
      </c>
      <c r="B31" s="31"/>
      <c r="C31" s="31"/>
      <c r="D31" s="31"/>
      <c r="E31" s="31"/>
      <c r="F31" s="7" t="s">
        <v>106</v>
      </c>
      <c r="G31" s="31"/>
      <c r="H31" s="31"/>
      <c r="I31" s="31"/>
      <c r="J31" s="31"/>
      <c r="K31" s="32" t="s">
        <v>829</v>
      </c>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5"/>
      <c r="AM31" s="5"/>
      <c r="AN31" s="5"/>
      <c r="AO31" s="5"/>
      <c r="AP31" s="5"/>
      <c r="AQ31" s="5"/>
      <c r="AR31" s="5"/>
      <c r="AS31" s="5"/>
      <c r="AT31" s="5"/>
      <c r="AU31" s="5"/>
      <c r="AV31" s="5"/>
      <c r="AW31" s="5"/>
      <c r="AX31" s="5"/>
      <c r="AY31" s="5"/>
      <c r="AZ31" s="5"/>
      <c r="BA31" s="5"/>
      <c r="BB31" s="5"/>
      <c r="BC31" s="5"/>
      <c r="BD31" s="5"/>
      <c r="BE31" s="7"/>
      <c r="BF31" s="5"/>
      <c r="BG31" s="5"/>
      <c r="BH31" s="5"/>
      <c r="BI31" s="5"/>
      <c r="BJ31" s="5"/>
      <c r="BK31" s="5"/>
      <c r="BL31" s="5"/>
      <c r="BM31" s="5"/>
      <c r="BN31" s="5"/>
      <c r="BO31" s="5"/>
      <c r="BP31" s="5"/>
      <c r="BQ31" s="5"/>
      <c r="BR31" s="5"/>
      <c r="BS31" s="5"/>
      <c r="BT31" s="5"/>
      <c r="BU31" s="5"/>
      <c r="BV31" s="7"/>
      <c r="BW31" s="5"/>
      <c r="BX31" s="5"/>
      <c r="BY31" s="5"/>
      <c r="BZ31" s="32" t="s">
        <v>888</v>
      </c>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3"/>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t="s">
        <v>1174</v>
      </c>
      <c r="EP31" t="s">
        <v>453</v>
      </c>
      <c r="EQ31" s="32"/>
      <c r="ER31" s="32"/>
    </row>
    <row r="32" spans="1:182" ht="29.25" customHeight="1" x14ac:dyDescent="0.3">
      <c r="A32" s="4">
        <v>139265</v>
      </c>
      <c r="B32" s="31"/>
      <c r="C32" s="31"/>
      <c r="D32" s="31"/>
      <c r="E32" s="31"/>
      <c r="F32" s="4" t="s">
        <v>37</v>
      </c>
      <c r="G32" s="31"/>
      <c r="H32" s="31"/>
      <c r="I32" s="31"/>
      <c r="J32" s="31"/>
      <c r="K32" s="32" t="s">
        <v>830</v>
      </c>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6"/>
      <c r="AM32" s="6"/>
      <c r="AN32" s="6"/>
      <c r="AO32" s="6"/>
      <c r="AP32" s="6"/>
      <c r="AQ32" s="6"/>
      <c r="AR32" s="6"/>
      <c r="AS32" s="6"/>
      <c r="AT32" s="6"/>
      <c r="AU32" s="6"/>
      <c r="AV32" s="6"/>
      <c r="AW32" s="6"/>
      <c r="AX32" s="6"/>
      <c r="AY32" s="6"/>
      <c r="AZ32" s="6"/>
      <c r="BA32" s="6"/>
      <c r="BB32" s="6"/>
      <c r="BC32" s="6"/>
      <c r="BD32" s="6"/>
      <c r="BE32" s="5"/>
      <c r="BF32" s="6"/>
      <c r="BG32" s="6"/>
      <c r="BH32" s="6"/>
      <c r="BI32" s="6"/>
      <c r="BJ32" s="6"/>
      <c r="BK32" s="6"/>
      <c r="BL32" s="6"/>
      <c r="BM32" s="6"/>
      <c r="BN32" s="6"/>
      <c r="BO32" s="6"/>
      <c r="BP32" s="6"/>
      <c r="BQ32" s="6"/>
      <c r="BR32" s="6"/>
      <c r="BS32" s="6"/>
      <c r="BT32" s="6"/>
      <c r="BU32" s="6"/>
      <c r="BV32" s="7"/>
      <c r="BW32" s="6"/>
      <c r="BX32" s="6"/>
      <c r="BY32" s="6"/>
      <c r="BZ32" s="32" t="s">
        <v>889</v>
      </c>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3"/>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t="s">
        <v>171</v>
      </c>
      <c r="EP32" t="s">
        <v>454</v>
      </c>
      <c r="EQ32" s="32"/>
      <c r="ER32" s="32"/>
    </row>
    <row r="33" spans="1:148" ht="29.25" customHeight="1" x14ac:dyDescent="0.3">
      <c r="A33" s="4">
        <v>139811</v>
      </c>
      <c r="B33" s="31"/>
      <c r="C33" s="31"/>
      <c r="D33" s="31"/>
      <c r="E33" s="31"/>
      <c r="F33" s="4" t="s">
        <v>29</v>
      </c>
      <c r="G33" s="31"/>
      <c r="H33" s="31"/>
      <c r="I33" s="31"/>
      <c r="J33" s="31"/>
      <c r="K33" s="32" t="s">
        <v>831</v>
      </c>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5"/>
      <c r="AM33" s="5"/>
      <c r="AN33" s="5"/>
      <c r="AO33" s="5"/>
      <c r="AP33" s="5"/>
      <c r="AQ33" s="5"/>
      <c r="AR33" s="5"/>
      <c r="AS33" s="5"/>
      <c r="AT33" s="5"/>
      <c r="AU33" s="5"/>
      <c r="AV33" s="5"/>
      <c r="AW33" s="5"/>
      <c r="AX33" s="5"/>
      <c r="AY33" s="5"/>
      <c r="AZ33" s="5"/>
      <c r="BA33" s="5"/>
      <c r="BB33" s="5"/>
      <c r="BC33" s="5"/>
      <c r="BD33" s="5"/>
      <c r="BE33" s="6"/>
      <c r="BF33" s="5"/>
      <c r="BG33" s="5"/>
      <c r="BH33" s="5"/>
      <c r="BI33" s="5"/>
      <c r="BJ33" s="5"/>
      <c r="BK33" s="5"/>
      <c r="BL33" s="5"/>
      <c r="BM33" s="5"/>
      <c r="BN33" s="5"/>
      <c r="BO33" s="5"/>
      <c r="BP33" s="5"/>
      <c r="BQ33" s="5"/>
      <c r="BR33" s="5"/>
      <c r="BS33" s="5"/>
      <c r="BT33" s="5"/>
      <c r="BU33" s="5"/>
      <c r="BV33" s="5"/>
      <c r="BW33" s="5"/>
      <c r="BX33" s="5"/>
      <c r="BY33" s="5"/>
      <c r="BZ33" s="32" t="s">
        <v>890</v>
      </c>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3"/>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t="s">
        <v>169</v>
      </c>
      <c r="EP33" t="s">
        <v>452</v>
      </c>
      <c r="EQ33" s="32"/>
      <c r="ER33" s="32"/>
    </row>
    <row r="34" spans="1:148" ht="29.25" customHeight="1" x14ac:dyDescent="0.3">
      <c r="A34" s="4">
        <v>139868</v>
      </c>
      <c r="B34" s="31"/>
      <c r="C34" s="31"/>
      <c r="D34" s="31"/>
      <c r="E34" s="31"/>
      <c r="F34" s="4" t="s">
        <v>23</v>
      </c>
      <c r="G34" s="31"/>
      <c r="H34" s="31"/>
      <c r="I34" s="31"/>
      <c r="J34" s="31"/>
      <c r="K34" s="32" t="s">
        <v>378</v>
      </c>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6"/>
      <c r="AM34" s="6"/>
      <c r="AN34" s="6"/>
      <c r="AO34" s="6"/>
      <c r="AP34" s="6"/>
      <c r="AQ34" s="6"/>
      <c r="AR34" s="6"/>
      <c r="AS34" s="6"/>
      <c r="AT34" s="6"/>
      <c r="AU34" s="6"/>
      <c r="AV34" s="6"/>
      <c r="AW34" s="6"/>
      <c r="AX34" s="6"/>
      <c r="AY34" s="6"/>
      <c r="AZ34" s="6"/>
      <c r="BA34" s="6"/>
      <c r="BB34" s="6"/>
      <c r="BC34" s="6"/>
      <c r="BD34" s="6"/>
      <c r="BE34" s="5"/>
      <c r="BF34" s="6"/>
      <c r="BG34" s="6"/>
      <c r="BH34" s="6"/>
      <c r="BI34" s="6"/>
      <c r="BJ34" s="6"/>
      <c r="BK34" s="6"/>
      <c r="BL34" s="6"/>
      <c r="BM34" s="6"/>
      <c r="BN34" s="6"/>
      <c r="BO34" s="6"/>
      <c r="BP34" s="6"/>
      <c r="BQ34" s="6"/>
      <c r="BR34" s="6"/>
      <c r="BS34" s="6"/>
      <c r="BT34" s="6"/>
      <c r="BU34" s="6"/>
      <c r="BV34" s="6"/>
      <c r="BW34" s="6"/>
      <c r="BX34" s="6"/>
      <c r="BY34" s="6"/>
      <c r="BZ34" s="32" t="s">
        <v>891</v>
      </c>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3"/>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t="s">
        <v>195</v>
      </c>
      <c r="EP34" t="s">
        <v>551</v>
      </c>
      <c r="EQ34" s="32"/>
      <c r="ER34" s="32"/>
    </row>
    <row r="35" spans="1:148" ht="29.25" customHeight="1" x14ac:dyDescent="0.3">
      <c r="A35" s="4">
        <v>140036</v>
      </c>
      <c r="B35" s="31"/>
      <c r="C35" s="31"/>
      <c r="D35" s="31"/>
      <c r="E35" s="31"/>
      <c r="F35" s="10" t="s">
        <v>104</v>
      </c>
      <c r="G35" s="31"/>
      <c r="H35" s="31"/>
      <c r="I35" s="31"/>
      <c r="J35" s="31"/>
      <c r="K35" s="32" t="s">
        <v>833</v>
      </c>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5"/>
      <c r="BW35" s="6"/>
      <c r="BX35" s="6"/>
      <c r="BY35" s="6"/>
      <c r="BZ35" s="32" t="s">
        <v>892</v>
      </c>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3"/>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t="s">
        <v>376</v>
      </c>
      <c r="EP35" t="s">
        <v>1207</v>
      </c>
      <c r="EQ35" s="32"/>
      <c r="ER35" s="32"/>
    </row>
    <row r="36" spans="1:148" ht="29.25" customHeight="1" x14ac:dyDescent="0.3">
      <c r="A36" s="4">
        <v>140048</v>
      </c>
      <c r="B36" s="31"/>
      <c r="C36" s="31"/>
      <c r="D36" s="31"/>
      <c r="E36" s="31"/>
      <c r="F36" s="4" t="s">
        <v>90</v>
      </c>
      <c r="G36" s="31"/>
      <c r="H36" s="31"/>
      <c r="I36" s="31"/>
      <c r="J36" s="31"/>
      <c r="K36" s="32" t="s">
        <v>834</v>
      </c>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32" t="s">
        <v>893</v>
      </c>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3"/>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t="s">
        <v>197</v>
      </c>
      <c r="EP36" t="s">
        <v>557</v>
      </c>
      <c r="EQ36" s="32"/>
      <c r="ER36" s="32"/>
    </row>
    <row r="37" spans="1:148" ht="29.25" customHeight="1" x14ac:dyDescent="0.3">
      <c r="A37" s="4">
        <v>140194</v>
      </c>
      <c r="B37" s="31"/>
      <c r="C37" s="31"/>
      <c r="D37" s="31"/>
      <c r="E37" s="31"/>
      <c r="F37" s="8" t="s">
        <v>1175</v>
      </c>
      <c r="G37" s="31"/>
      <c r="H37" s="31"/>
      <c r="I37" s="31"/>
      <c r="J37" s="31"/>
      <c r="K37" s="32" t="s">
        <v>835</v>
      </c>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4"/>
      <c r="AM37" s="4"/>
      <c r="AN37" s="4"/>
      <c r="AO37" s="4"/>
      <c r="AP37" s="4"/>
      <c r="AQ37" s="4"/>
      <c r="AR37" s="4"/>
      <c r="AS37" s="4"/>
      <c r="AT37" s="4"/>
      <c r="AU37" s="4"/>
      <c r="AV37" s="4"/>
      <c r="AW37" s="4"/>
      <c r="AX37" s="4"/>
      <c r="AY37" s="4"/>
      <c r="AZ37" s="4"/>
      <c r="BA37" s="4"/>
      <c r="BB37" s="4"/>
      <c r="BC37" s="4"/>
      <c r="BD37" s="4"/>
      <c r="BE37" s="6"/>
      <c r="BF37" s="4"/>
      <c r="BG37" s="4"/>
      <c r="BH37" s="4"/>
      <c r="BI37" s="4"/>
      <c r="BJ37" s="4"/>
      <c r="BK37" s="4"/>
      <c r="BL37" s="4"/>
      <c r="BM37" s="4"/>
      <c r="BN37" s="4"/>
      <c r="BO37" s="4"/>
      <c r="BP37" s="4"/>
      <c r="BQ37" s="4"/>
      <c r="BR37" s="4"/>
      <c r="BS37" s="4"/>
      <c r="BT37" s="4"/>
      <c r="BU37" s="4"/>
      <c r="BV37" s="6"/>
      <c r="BW37" s="4"/>
      <c r="BX37" s="4"/>
      <c r="BY37" s="4"/>
      <c r="BZ37" s="32" t="s">
        <v>894</v>
      </c>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3"/>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t="s">
        <v>194</v>
      </c>
      <c r="EP37" t="s">
        <v>550</v>
      </c>
      <c r="EQ37" s="32"/>
      <c r="ER37" s="32"/>
    </row>
    <row r="38" spans="1:148" ht="29.25" customHeight="1" x14ac:dyDescent="0.3">
      <c r="A38" s="4">
        <v>140347</v>
      </c>
      <c r="B38" s="31"/>
      <c r="C38" s="31"/>
      <c r="D38" s="31"/>
      <c r="E38" s="31"/>
      <c r="F38" s="8" t="s">
        <v>89</v>
      </c>
      <c r="G38" s="31"/>
      <c r="H38" s="31"/>
      <c r="I38" s="31"/>
      <c r="J38" s="31"/>
      <c r="K38" s="32" t="s">
        <v>836</v>
      </c>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6"/>
      <c r="AM38" s="6"/>
      <c r="AN38" s="6"/>
      <c r="AO38" s="6"/>
      <c r="AP38" s="6"/>
      <c r="AQ38" s="6"/>
      <c r="AR38" s="6"/>
      <c r="AS38" s="6"/>
      <c r="AT38" s="6"/>
      <c r="AU38" s="6"/>
      <c r="AV38" s="6"/>
      <c r="AW38" s="6"/>
      <c r="AX38" s="6"/>
      <c r="AY38" s="6"/>
      <c r="AZ38" s="6"/>
      <c r="BA38" s="6"/>
      <c r="BB38" s="6"/>
      <c r="BC38" s="6"/>
      <c r="BD38" s="6"/>
      <c r="BE38" s="4"/>
      <c r="BF38" s="6"/>
      <c r="BG38" s="6"/>
      <c r="BH38" s="6"/>
      <c r="BI38" s="6"/>
      <c r="BJ38" s="6"/>
      <c r="BK38" s="6"/>
      <c r="BL38" s="6"/>
      <c r="BM38" s="6"/>
      <c r="BN38" s="6"/>
      <c r="BO38" s="6"/>
      <c r="BP38" s="6"/>
      <c r="BQ38" s="6"/>
      <c r="BR38" s="6"/>
      <c r="BS38" s="6"/>
      <c r="BT38" s="6"/>
      <c r="BU38" s="6"/>
      <c r="BV38" s="6"/>
      <c r="BW38" s="6"/>
      <c r="BX38" s="6"/>
      <c r="BY38" s="6"/>
      <c r="BZ38" s="32" t="s">
        <v>895</v>
      </c>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3"/>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t="s">
        <v>1153</v>
      </c>
      <c r="EP38" t="s">
        <v>429</v>
      </c>
      <c r="EQ38" s="32"/>
      <c r="ER38" s="32"/>
    </row>
    <row r="39" spans="1:148" ht="29.25" customHeight="1" x14ac:dyDescent="0.3">
      <c r="A39" s="4">
        <v>140506</v>
      </c>
      <c r="B39" s="31"/>
      <c r="C39" s="31"/>
      <c r="D39" s="31"/>
      <c r="E39" s="31"/>
      <c r="F39" s="4" t="s">
        <v>74</v>
      </c>
      <c r="G39" s="31"/>
      <c r="H39" s="31"/>
      <c r="I39" s="31"/>
      <c r="J39" s="31"/>
      <c r="K39" s="32" t="s">
        <v>837</v>
      </c>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4"/>
      <c r="BW39" s="6"/>
      <c r="BX39" s="6"/>
      <c r="BY39" s="6"/>
      <c r="BZ39" s="32" t="s">
        <v>896</v>
      </c>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3"/>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t="s">
        <v>1150</v>
      </c>
      <c r="EP39" t="s">
        <v>446</v>
      </c>
      <c r="EQ39" s="32"/>
      <c r="ER39" s="32"/>
    </row>
    <row r="40" spans="1:148" ht="29.25" customHeight="1" x14ac:dyDescent="0.3">
      <c r="A40" s="4">
        <v>140526</v>
      </c>
      <c r="B40" s="31"/>
      <c r="C40" s="31"/>
      <c r="D40" s="31"/>
      <c r="E40" s="31"/>
      <c r="F40" s="8" t="s">
        <v>1176</v>
      </c>
      <c r="G40" s="31"/>
      <c r="H40" s="31"/>
      <c r="I40" s="31"/>
      <c r="J40" s="31"/>
      <c r="K40" s="32" t="s">
        <v>838</v>
      </c>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32" t="s">
        <v>897</v>
      </c>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3"/>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t="s">
        <v>1141</v>
      </c>
      <c r="EP40" t="s">
        <v>576</v>
      </c>
      <c r="EQ40" s="32"/>
      <c r="ER40" s="32"/>
    </row>
    <row r="41" spans="1:148" ht="29.25" customHeight="1" x14ac:dyDescent="0.3">
      <c r="A41" s="4">
        <v>140917</v>
      </c>
      <c r="B41" s="31"/>
      <c r="C41" s="31"/>
      <c r="D41" s="31"/>
      <c r="E41" s="31"/>
      <c r="F41" s="8" t="s">
        <v>1177</v>
      </c>
      <c r="G41" s="31"/>
      <c r="H41" s="31"/>
      <c r="I41" s="31"/>
      <c r="J41" s="31"/>
      <c r="K41" s="32" t="s">
        <v>839</v>
      </c>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32" t="s">
        <v>898</v>
      </c>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3"/>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t="s">
        <v>166</v>
      </c>
      <c r="EP41" t="s">
        <v>445</v>
      </c>
      <c r="EQ41" s="32"/>
      <c r="ER41" s="32"/>
    </row>
    <row r="42" spans="1:148" ht="29.25" customHeight="1" x14ac:dyDescent="0.3">
      <c r="A42" s="4">
        <v>141150</v>
      </c>
      <c r="B42" s="31"/>
      <c r="C42" s="31"/>
      <c r="D42" s="31"/>
      <c r="E42" s="31"/>
      <c r="F42" s="4" t="s">
        <v>1178</v>
      </c>
      <c r="G42" s="31"/>
      <c r="H42" s="31"/>
      <c r="I42" s="31"/>
      <c r="J42" s="31"/>
      <c r="K42" s="32" t="s">
        <v>379</v>
      </c>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32" t="s">
        <v>899</v>
      </c>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3"/>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t="s">
        <v>1149</v>
      </c>
      <c r="EP42" t="s">
        <v>428</v>
      </c>
      <c r="EQ42" s="32"/>
      <c r="ER42" s="32"/>
    </row>
    <row r="43" spans="1:148" ht="29.25" customHeight="1" x14ac:dyDescent="0.3">
      <c r="A43" s="4">
        <v>141276</v>
      </c>
      <c r="B43" s="31"/>
      <c r="C43" s="31"/>
      <c r="D43" s="31"/>
      <c r="E43" s="31"/>
      <c r="F43" s="8" t="s">
        <v>1179</v>
      </c>
      <c r="G43" s="31"/>
      <c r="H43" s="31"/>
      <c r="I43" s="31"/>
      <c r="J43" s="31"/>
      <c r="K43" s="32" t="s">
        <v>840</v>
      </c>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32" t="s">
        <v>900</v>
      </c>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3"/>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t="s">
        <v>159</v>
      </c>
      <c r="EP43" t="s">
        <v>424</v>
      </c>
      <c r="EQ43" s="32"/>
      <c r="ER43" s="32"/>
    </row>
    <row r="44" spans="1:148" ht="29.25" customHeight="1" x14ac:dyDescent="0.3">
      <c r="A44" s="4">
        <v>141293</v>
      </c>
      <c r="B44" s="31"/>
      <c r="C44" s="31"/>
      <c r="D44" s="31"/>
      <c r="E44" s="31"/>
      <c r="F44" s="8" t="s">
        <v>62</v>
      </c>
      <c r="G44" s="31"/>
      <c r="H44" s="31"/>
      <c r="I44" s="31"/>
      <c r="J44" s="31"/>
      <c r="K44" s="32" t="s">
        <v>841</v>
      </c>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32" t="s">
        <v>901</v>
      </c>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3"/>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t="s">
        <v>1166</v>
      </c>
      <c r="EP44" t="s">
        <v>439</v>
      </c>
      <c r="EQ44" s="32"/>
      <c r="ER44" s="32"/>
    </row>
    <row r="45" spans="1:148" ht="29.25" customHeight="1" x14ac:dyDescent="0.3">
      <c r="A45" s="4">
        <v>141877</v>
      </c>
      <c r="B45" s="31"/>
      <c r="C45" s="31"/>
      <c r="D45" s="31"/>
      <c r="E45" s="31"/>
      <c r="F45" s="4" t="s">
        <v>55</v>
      </c>
      <c r="G45" s="31"/>
      <c r="H45" s="31"/>
      <c r="I45" s="31"/>
      <c r="J45" s="31"/>
      <c r="K45" s="32" t="s">
        <v>842</v>
      </c>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32" t="s">
        <v>902</v>
      </c>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3"/>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t="s">
        <v>156</v>
      </c>
      <c r="EP45" t="s">
        <v>415</v>
      </c>
      <c r="EQ45" s="32"/>
      <c r="ER45" s="32"/>
    </row>
    <row r="46" spans="1:148" ht="29.25" customHeight="1" x14ac:dyDescent="0.3">
      <c r="A46" s="4">
        <v>141964</v>
      </c>
      <c r="B46" s="31"/>
      <c r="C46" s="31"/>
      <c r="D46" s="31"/>
      <c r="E46" s="31"/>
      <c r="F46" s="8" t="s">
        <v>84</v>
      </c>
      <c r="G46" s="31"/>
      <c r="H46" s="31"/>
      <c r="I46" s="31"/>
      <c r="J46" s="31"/>
      <c r="K46" s="32" t="s">
        <v>843</v>
      </c>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32" t="s">
        <v>903</v>
      </c>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3"/>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t="s">
        <v>191</v>
      </c>
      <c r="EP46" t="s">
        <v>541</v>
      </c>
      <c r="EQ46" s="32"/>
      <c r="ER46" s="32"/>
    </row>
    <row r="47" spans="1:148" ht="29.25" customHeight="1" x14ac:dyDescent="0.3">
      <c r="A47" s="4">
        <v>142175</v>
      </c>
      <c r="B47" s="31"/>
      <c r="C47" s="31"/>
      <c r="D47" s="31"/>
      <c r="E47" s="31"/>
      <c r="F47" s="4" t="s">
        <v>54</v>
      </c>
      <c r="G47" s="31"/>
      <c r="H47" s="31"/>
      <c r="I47" s="31"/>
      <c r="J47" s="31"/>
      <c r="K47" s="32" t="s">
        <v>380</v>
      </c>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32" t="s">
        <v>904</v>
      </c>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3"/>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t="s">
        <v>157</v>
      </c>
      <c r="EP47" t="s">
        <v>418</v>
      </c>
      <c r="EQ47" s="32"/>
      <c r="ER47" s="32"/>
    </row>
    <row r="48" spans="1:148" ht="29.25" customHeight="1" x14ac:dyDescent="0.3">
      <c r="A48" s="4">
        <v>142192</v>
      </c>
      <c r="B48" s="31"/>
      <c r="C48" s="31"/>
      <c r="D48" s="31"/>
      <c r="E48" s="31"/>
      <c r="F48" s="4" t="s">
        <v>43</v>
      </c>
      <c r="G48" s="31"/>
      <c r="H48" s="31"/>
      <c r="I48" s="31"/>
      <c r="J48" s="31"/>
      <c r="K48" s="32" t="s">
        <v>844</v>
      </c>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32" t="s">
        <v>905</v>
      </c>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3"/>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t="s">
        <v>153</v>
      </c>
      <c r="EP48" t="s">
        <v>924</v>
      </c>
      <c r="EQ48" s="32"/>
      <c r="ER48" s="32"/>
    </row>
    <row r="49" spans="1:148" ht="29.25" customHeight="1" x14ac:dyDescent="0.3">
      <c r="A49" s="4">
        <v>142289</v>
      </c>
      <c r="B49" s="31"/>
      <c r="C49" s="31"/>
      <c r="D49" s="31"/>
      <c r="E49" s="31"/>
      <c r="F49" s="4" t="s">
        <v>100</v>
      </c>
      <c r="G49" s="31"/>
      <c r="H49" s="31"/>
      <c r="I49" s="31"/>
      <c r="J49" s="31"/>
      <c r="K49" s="32" t="s">
        <v>845</v>
      </c>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32" t="s">
        <v>906</v>
      </c>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3"/>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t="s">
        <v>1180</v>
      </c>
      <c r="EP49" t="s">
        <v>408</v>
      </c>
      <c r="EQ49" s="32"/>
      <c r="ER49" s="32"/>
    </row>
    <row r="50" spans="1:148" ht="29.25" customHeight="1" x14ac:dyDescent="0.3">
      <c r="A50" s="4">
        <v>142941</v>
      </c>
      <c r="B50" s="31"/>
      <c r="C50" s="31"/>
      <c r="D50" s="31"/>
      <c r="E50" s="31"/>
      <c r="F50" s="8" t="s">
        <v>79</v>
      </c>
      <c r="G50" s="31"/>
      <c r="H50" s="31"/>
      <c r="I50" s="31"/>
      <c r="J50" s="31"/>
      <c r="K50" s="32" t="s">
        <v>846</v>
      </c>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32" t="s">
        <v>907</v>
      </c>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3"/>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t="s">
        <v>1134</v>
      </c>
      <c r="EO50" t="s">
        <v>190</v>
      </c>
      <c r="EP50" t="s">
        <v>538</v>
      </c>
      <c r="EQ50" s="32"/>
      <c r="ER50" s="32"/>
    </row>
    <row r="51" spans="1:148" ht="29.25" customHeight="1" x14ac:dyDescent="0.3">
      <c r="A51" s="4">
        <v>143091</v>
      </c>
      <c r="B51" s="31"/>
      <c r="C51" s="31"/>
      <c r="D51" s="31"/>
      <c r="E51" s="31"/>
      <c r="F51" s="8" t="s">
        <v>99</v>
      </c>
      <c r="G51" s="31"/>
      <c r="H51" s="31"/>
      <c r="I51" s="31"/>
      <c r="J51" s="31"/>
      <c r="K51" s="32" t="s">
        <v>847</v>
      </c>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32" t="s">
        <v>908</v>
      </c>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3"/>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t="s">
        <v>1133</v>
      </c>
      <c r="EP51" t="s">
        <v>432</v>
      </c>
      <c r="EQ51" s="32"/>
      <c r="ER51" s="32"/>
    </row>
    <row r="52" spans="1:148" ht="29.25" customHeight="1" x14ac:dyDescent="0.3">
      <c r="A52" s="4">
        <v>143285</v>
      </c>
      <c r="B52" s="31"/>
      <c r="C52" s="31"/>
      <c r="D52" s="31"/>
      <c r="E52" s="31"/>
      <c r="F52" s="8" t="s">
        <v>105</v>
      </c>
      <c r="G52" s="31"/>
      <c r="H52" s="31"/>
      <c r="I52" s="31"/>
      <c r="J52" s="31"/>
      <c r="K52" s="32" t="s">
        <v>848</v>
      </c>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4"/>
      <c r="AM52" s="4"/>
      <c r="AN52" s="4"/>
      <c r="AO52" s="4"/>
      <c r="AP52" s="4"/>
      <c r="AQ52" s="4"/>
      <c r="AR52" s="4"/>
      <c r="AS52" s="4"/>
      <c r="AT52" s="4"/>
      <c r="AU52" s="4"/>
      <c r="AV52" s="4"/>
      <c r="AW52" s="4"/>
      <c r="AX52" s="4"/>
      <c r="AY52" s="4"/>
      <c r="AZ52" s="4"/>
      <c r="BA52" s="4"/>
      <c r="BB52" s="4"/>
      <c r="BC52" s="4"/>
      <c r="BD52" s="4"/>
      <c r="BE52" s="6"/>
      <c r="BF52" s="4"/>
      <c r="BG52" s="4"/>
      <c r="BH52" s="4"/>
      <c r="BI52" s="4"/>
      <c r="BJ52" s="4"/>
      <c r="BK52" s="4"/>
      <c r="BL52" s="4"/>
      <c r="BM52" s="4"/>
      <c r="BN52" s="4"/>
      <c r="BO52" s="4"/>
      <c r="BP52" s="4"/>
      <c r="BQ52" s="4"/>
      <c r="BR52" s="4"/>
      <c r="BS52" s="4"/>
      <c r="BT52" s="4"/>
      <c r="BU52" s="4"/>
      <c r="BV52" s="6"/>
      <c r="BW52" s="4"/>
      <c r="BX52" s="4"/>
      <c r="BY52" s="4"/>
      <c r="BZ52" s="32" t="s">
        <v>909</v>
      </c>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3"/>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t="s">
        <v>154</v>
      </c>
      <c r="EP52" t="s">
        <v>925</v>
      </c>
      <c r="EQ52" s="32"/>
      <c r="ER52" s="32"/>
    </row>
    <row r="53" spans="1:148" ht="29.25" customHeight="1" x14ac:dyDescent="0.3">
      <c r="A53" s="4">
        <v>143923</v>
      </c>
      <c r="B53" s="31"/>
      <c r="C53" s="31"/>
      <c r="D53" s="31"/>
      <c r="E53" s="31"/>
      <c r="F53" s="6" t="s">
        <v>22</v>
      </c>
      <c r="G53" s="31"/>
      <c r="H53" s="31"/>
      <c r="I53" s="31"/>
      <c r="J53" s="31"/>
      <c r="K53" s="32" t="s">
        <v>849</v>
      </c>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6"/>
      <c r="AM53" s="6"/>
      <c r="AN53" s="6"/>
      <c r="AO53" s="6"/>
      <c r="AP53" s="6"/>
      <c r="AQ53" s="6"/>
      <c r="AR53" s="6"/>
      <c r="AS53" s="6"/>
      <c r="AT53" s="6"/>
      <c r="AU53" s="6"/>
      <c r="AV53" s="6"/>
      <c r="AW53" s="6"/>
      <c r="AX53" s="6"/>
      <c r="AY53" s="6"/>
      <c r="AZ53" s="6"/>
      <c r="BA53" s="6"/>
      <c r="BB53" s="6"/>
      <c r="BC53" s="6"/>
      <c r="BD53" s="6"/>
      <c r="BE53" s="4"/>
      <c r="BF53" s="6"/>
      <c r="BG53" s="6"/>
      <c r="BH53" s="6"/>
      <c r="BI53" s="6"/>
      <c r="BJ53" s="6"/>
      <c r="BK53" s="6"/>
      <c r="BL53" s="6"/>
      <c r="BM53" s="6"/>
      <c r="BN53" s="6"/>
      <c r="BO53" s="6"/>
      <c r="BP53" s="6"/>
      <c r="BQ53" s="6"/>
      <c r="BR53" s="6"/>
      <c r="BS53" s="6"/>
      <c r="BT53" s="6"/>
      <c r="BU53" s="6"/>
      <c r="BV53" s="6"/>
      <c r="BW53" s="6"/>
      <c r="BX53" s="6"/>
      <c r="BY53" s="6"/>
      <c r="BZ53" s="32" t="s">
        <v>910</v>
      </c>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3"/>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t="s">
        <v>198</v>
      </c>
      <c r="EP53" t="s">
        <v>564</v>
      </c>
      <c r="EQ53" s="32"/>
      <c r="ER53" s="32"/>
    </row>
    <row r="54" spans="1:148" ht="29.25" customHeight="1" x14ac:dyDescent="0.3">
      <c r="A54" s="4">
        <v>144165</v>
      </c>
      <c r="B54" s="31"/>
      <c r="C54" s="31"/>
      <c r="D54" s="31"/>
      <c r="E54" s="31"/>
      <c r="F54" s="8" t="s">
        <v>26</v>
      </c>
      <c r="G54" s="31"/>
      <c r="H54" s="31"/>
      <c r="I54" s="31"/>
      <c r="J54" s="31"/>
      <c r="K54" s="32" t="s">
        <v>850</v>
      </c>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4"/>
      <c r="BW54" s="6"/>
      <c r="BX54" s="6"/>
      <c r="BY54" s="6"/>
      <c r="BZ54" s="32" t="s">
        <v>911</v>
      </c>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3"/>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t="s">
        <v>200</v>
      </c>
      <c r="EP54" t="s">
        <v>570</v>
      </c>
      <c r="EQ54" s="32"/>
      <c r="ER54" s="32"/>
    </row>
    <row r="55" spans="1:148" ht="29.25" customHeight="1" x14ac:dyDescent="0.3">
      <c r="A55" s="4">
        <v>144212</v>
      </c>
      <c r="B55" s="31"/>
      <c r="C55" s="31"/>
      <c r="D55" s="31"/>
      <c r="E55" s="31"/>
      <c r="F55" s="8" t="s">
        <v>91</v>
      </c>
      <c r="G55" s="31"/>
      <c r="H55" s="31"/>
      <c r="I55" s="31"/>
      <c r="J55" s="31"/>
      <c r="K55" s="32" t="s">
        <v>851</v>
      </c>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32" t="s">
        <v>912</v>
      </c>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3"/>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t="s">
        <v>199</v>
      </c>
      <c r="EP55" t="s">
        <v>567</v>
      </c>
      <c r="EQ55" s="32"/>
      <c r="ER55" s="32"/>
    </row>
    <row r="56" spans="1:148" ht="29.25" customHeight="1" x14ac:dyDescent="0.3">
      <c r="A56" s="4">
        <v>145271</v>
      </c>
      <c r="B56" s="31"/>
      <c r="C56" s="31"/>
      <c r="D56" s="31"/>
      <c r="E56" s="31"/>
      <c r="F56" s="8" t="s">
        <v>112</v>
      </c>
      <c r="G56" s="31"/>
      <c r="H56" s="31"/>
      <c r="I56" s="31"/>
      <c r="J56" s="31"/>
      <c r="K56" s="32" t="s">
        <v>852</v>
      </c>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32" t="s">
        <v>852</v>
      </c>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3"/>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t="s">
        <v>1157</v>
      </c>
      <c r="EP56" t="s">
        <v>573</v>
      </c>
      <c r="EQ56" s="32"/>
      <c r="ER56" s="32"/>
    </row>
    <row r="57" spans="1:148" ht="29.25" customHeight="1" x14ac:dyDescent="0.3">
      <c r="A57" s="4">
        <v>145732</v>
      </c>
      <c r="B57" s="31"/>
      <c r="C57" s="31"/>
      <c r="D57" s="31"/>
      <c r="E57" s="31"/>
      <c r="F57" s="4" t="s">
        <v>85</v>
      </c>
      <c r="G57" s="31"/>
      <c r="H57" s="31"/>
      <c r="I57" s="31"/>
      <c r="J57" s="31"/>
      <c r="K57" s="32" t="s">
        <v>381</v>
      </c>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32" t="s">
        <v>913</v>
      </c>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3"/>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t="s">
        <v>186</v>
      </c>
      <c r="EP57" t="s">
        <v>526</v>
      </c>
      <c r="EQ57" s="32"/>
      <c r="ER57" s="32"/>
    </row>
    <row r="58" spans="1:148" ht="29.25" customHeight="1" x14ac:dyDescent="0.3">
      <c r="A58" s="4">
        <v>145812</v>
      </c>
      <c r="B58" s="31"/>
      <c r="C58" s="31"/>
      <c r="D58" s="31"/>
      <c r="E58" s="31"/>
      <c r="F58" s="4" t="s">
        <v>15</v>
      </c>
      <c r="G58" s="31"/>
      <c r="H58" s="31"/>
      <c r="I58" s="31"/>
      <c r="J58" s="31"/>
      <c r="K58" s="32" t="s">
        <v>382</v>
      </c>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32" t="s">
        <v>914</v>
      </c>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3"/>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t="s">
        <v>205</v>
      </c>
      <c r="EP58" t="s">
        <v>583</v>
      </c>
      <c r="EQ58" s="32"/>
      <c r="ER58" s="32"/>
    </row>
    <row r="59" spans="1:148" ht="29.25" customHeight="1" x14ac:dyDescent="0.3">
      <c r="A59" s="4">
        <v>145857</v>
      </c>
      <c r="B59" s="31"/>
      <c r="C59" s="31"/>
      <c r="D59" s="31"/>
      <c r="E59" s="31"/>
      <c r="F59" s="8" t="s">
        <v>111</v>
      </c>
      <c r="G59" s="31"/>
      <c r="H59" s="31"/>
      <c r="I59" s="31"/>
      <c r="J59" s="31"/>
      <c r="K59" s="32" t="s">
        <v>383</v>
      </c>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32" t="s">
        <v>915</v>
      </c>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3"/>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t="s">
        <v>203</v>
      </c>
      <c r="EP59" t="s">
        <v>579</v>
      </c>
      <c r="EQ59" s="32"/>
      <c r="ER59" s="32"/>
    </row>
    <row r="60" spans="1:148" ht="29.25" customHeight="1" x14ac:dyDescent="0.3">
      <c r="A60" s="4">
        <v>146222</v>
      </c>
      <c r="B60" s="31"/>
      <c r="C60" s="31"/>
      <c r="D60" s="31"/>
      <c r="E60" s="31"/>
      <c r="F60" s="4" t="s">
        <v>47</v>
      </c>
      <c r="G60" s="31"/>
      <c r="H60" s="31"/>
      <c r="I60" s="31"/>
      <c r="J60" s="31"/>
      <c r="K60" s="32" t="s">
        <v>384</v>
      </c>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32" t="s">
        <v>916</v>
      </c>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3"/>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t="s">
        <v>800</v>
      </c>
      <c r="EP60" t="s">
        <v>926</v>
      </c>
      <c r="EQ60" s="32"/>
      <c r="ER60" s="32"/>
    </row>
    <row r="61" spans="1:148" ht="29.25" customHeight="1" x14ac:dyDescent="0.3">
      <c r="A61" s="4">
        <v>146253</v>
      </c>
      <c r="B61" s="31"/>
      <c r="C61" s="31"/>
      <c r="D61" s="31"/>
      <c r="E61" s="31"/>
      <c r="F61" s="4" t="s">
        <v>56</v>
      </c>
      <c r="G61" s="31"/>
      <c r="H61" s="31"/>
      <c r="I61" s="31"/>
      <c r="J61" s="31"/>
      <c r="K61" s="32" t="s">
        <v>385</v>
      </c>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32" t="s">
        <v>917</v>
      </c>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3"/>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t="s">
        <v>164</v>
      </c>
      <c r="EP61" t="s">
        <v>440</v>
      </c>
      <c r="EQ61" s="32"/>
      <c r="ER61" s="32"/>
    </row>
    <row r="62" spans="1:148" ht="29.25" customHeight="1" x14ac:dyDescent="0.3">
      <c r="A62" s="9">
        <v>146943</v>
      </c>
      <c r="B62" s="31"/>
      <c r="C62" s="31"/>
      <c r="D62" s="31"/>
      <c r="E62" s="31"/>
      <c r="F62" s="8" t="s">
        <v>69</v>
      </c>
      <c r="G62" s="31"/>
      <c r="H62" s="31"/>
      <c r="I62" s="31"/>
      <c r="J62" s="31"/>
      <c r="K62" s="32" t="s">
        <v>854</v>
      </c>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32" t="s">
        <v>918</v>
      </c>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3"/>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t="s">
        <v>163</v>
      </c>
      <c r="EP62" t="s">
        <v>437</v>
      </c>
      <c r="EQ62" s="32"/>
      <c r="ER62" s="32"/>
    </row>
    <row r="63" spans="1:148" ht="29.25" customHeight="1" x14ac:dyDescent="0.3">
      <c r="A63" s="4">
        <v>147023</v>
      </c>
      <c r="B63" s="31"/>
      <c r="C63" s="31"/>
      <c r="D63" s="31"/>
      <c r="E63" s="31"/>
      <c r="F63" s="4" t="s">
        <v>42</v>
      </c>
      <c r="G63" s="31"/>
      <c r="H63" s="31"/>
      <c r="I63" s="31"/>
      <c r="J63" s="31"/>
      <c r="K63" s="32" t="s">
        <v>855</v>
      </c>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32" t="s">
        <v>919</v>
      </c>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3"/>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t="s">
        <v>151</v>
      </c>
      <c r="EP63" t="s">
        <v>398</v>
      </c>
      <c r="EQ63" s="32"/>
      <c r="ER63" s="32"/>
    </row>
    <row r="64" spans="1:148" ht="29.25" customHeight="1" x14ac:dyDescent="0.3">
      <c r="A64" s="4">
        <v>147167</v>
      </c>
      <c r="B64" s="31"/>
      <c r="C64" s="31"/>
      <c r="D64" s="31"/>
      <c r="E64" s="31"/>
      <c r="F64" s="8" t="s">
        <v>96</v>
      </c>
      <c r="G64" s="31"/>
      <c r="H64" s="31"/>
      <c r="I64" s="31"/>
      <c r="J64" s="31"/>
      <c r="K64" s="32" t="s">
        <v>856</v>
      </c>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32" t="s">
        <v>920</v>
      </c>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3"/>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t="s">
        <v>150</v>
      </c>
      <c r="EP64" t="s">
        <v>397</v>
      </c>
      <c r="EQ64" s="32"/>
      <c r="ER64" s="32"/>
    </row>
    <row r="65" spans="1:148" ht="29.25" customHeight="1" x14ac:dyDescent="0.3">
      <c r="A65" s="4">
        <v>147383</v>
      </c>
      <c r="B65" s="31"/>
      <c r="C65" s="31"/>
      <c r="D65" s="31"/>
      <c r="E65" s="31"/>
      <c r="F65" s="4" t="s">
        <v>103</v>
      </c>
      <c r="G65" s="31"/>
      <c r="H65" s="31"/>
      <c r="I65" s="31"/>
      <c r="J65" s="31"/>
      <c r="K65" s="32" t="s">
        <v>857</v>
      </c>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32" t="s">
        <v>921</v>
      </c>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3"/>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t="s">
        <v>158</v>
      </c>
      <c r="EP65" t="s">
        <v>421</v>
      </c>
      <c r="EQ65" s="32"/>
      <c r="ER65" s="32"/>
    </row>
    <row r="66" spans="1:148" ht="29.25" customHeight="1" x14ac:dyDescent="0.3">
      <c r="A66" s="4">
        <v>147769</v>
      </c>
      <c r="B66" s="31"/>
      <c r="C66" s="31"/>
      <c r="D66" s="31"/>
      <c r="E66" s="31"/>
      <c r="F66" s="4" t="s">
        <v>102</v>
      </c>
      <c r="G66" s="31"/>
      <c r="H66" s="31"/>
      <c r="I66" s="31"/>
      <c r="J66" s="31"/>
      <c r="K66" s="32" t="s">
        <v>858</v>
      </c>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32" t="s">
        <v>922</v>
      </c>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3"/>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t="s">
        <v>204</v>
      </c>
      <c r="EP66" t="s">
        <v>580</v>
      </c>
      <c r="EQ66" s="32"/>
      <c r="ER66" s="32"/>
    </row>
    <row r="67" spans="1:148" ht="29.25" customHeight="1" x14ac:dyDescent="0.3">
      <c r="A67" s="4">
        <v>147838</v>
      </c>
      <c r="B67" s="31"/>
      <c r="C67" s="31"/>
      <c r="D67" s="31"/>
      <c r="E67" s="31"/>
      <c r="F67" s="8" t="s">
        <v>97</v>
      </c>
      <c r="G67" s="31"/>
      <c r="H67" s="31"/>
      <c r="I67" s="31"/>
      <c r="J67" s="31"/>
      <c r="K67" s="32" t="s">
        <v>859</v>
      </c>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32" t="s">
        <v>923</v>
      </c>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3"/>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t="s">
        <v>149</v>
      </c>
      <c r="EP67" t="s">
        <v>394</v>
      </c>
      <c r="EQ67" s="32"/>
      <c r="ER67" s="32"/>
    </row>
    <row r="68" spans="1:148" ht="29.25" customHeight="1" x14ac:dyDescent="0.3">
      <c r="A68" s="4">
        <v>147846</v>
      </c>
      <c r="B68" s="31"/>
      <c r="C68" s="31"/>
      <c r="D68" s="31"/>
      <c r="E68" s="31"/>
      <c r="F68" s="4" t="s">
        <v>49</v>
      </c>
      <c r="G68" s="31"/>
      <c r="H68" s="31"/>
      <c r="I68" s="31"/>
      <c r="J68" s="31"/>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1"/>
      <c r="AM68" s="31"/>
      <c r="AN68" s="31"/>
      <c r="AO68" s="31"/>
      <c r="AP68" s="31"/>
      <c r="AQ68" s="31"/>
      <c r="AR68" s="31"/>
      <c r="AS68" s="31"/>
      <c r="AT68" s="31"/>
      <c r="AU68" s="31"/>
      <c r="AV68" s="31"/>
      <c r="AW68" s="31"/>
      <c r="AX68" s="31"/>
      <c r="AY68" s="31"/>
      <c r="AZ68" s="31"/>
      <c r="BA68" s="31"/>
      <c r="BB68" s="31"/>
      <c r="BC68" s="31"/>
      <c r="BD68" s="31"/>
      <c r="BE68" s="6"/>
      <c r="BF68" s="31"/>
      <c r="BG68" s="31"/>
      <c r="BH68" s="31"/>
      <c r="BI68" s="31"/>
      <c r="BJ68" s="31"/>
      <c r="BK68" s="31"/>
      <c r="BL68" s="31"/>
      <c r="BM68" s="31"/>
      <c r="BN68" s="31"/>
      <c r="BO68" s="31"/>
      <c r="BP68" s="31"/>
      <c r="BQ68" s="31"/>
      <c r="BR68" s="31"/>
      <c r="BS68" s="31"/>
      <c r="BT68" s="31"/>
      <c r="BU68" s="31"/>
      <c r="BV68" s="6"/>
      <c r="BW68" s="31"/>
      <c r="BX68" s="31"/>
      <c r="BY68" s="31"/>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3"/>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t="s">
        <v>1138</v>
      </c>
      <c r="EP68" t="s">
        <v>393</v>
      </c>
      <c r="EQ68" s="32"/>
      <c r="ER68" s="32"/>
    </row>
    <row r="69" spans="1:148" ht="29.25" customHeight="1" x14ac:dyDescent="0.3">
      <c r="A69" s="4">
        <v>147937</v>
      </c>
      <c r="B69" s="31"/>
      <c r="C69" s="31"/>
      <c r="D69" s="31"/>
      <c r="E69" s="31"/>
      <c r="F69" s="4" t="s">
        <v>60</v>
      </c>
      <c r="G69" s="31"/>
      <c r="H69" s="31"/>
      <c r="I69" s="31"/>
      <c r="J69" s="31"/>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6"/>
      <c r="BW69" s="31"/>
      <c r="BX69" s="31"/>
      <c r="BY69" s="31"/>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3"/>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t="s">
        <v>189</v>
      </c>
      <c r="EP69" t="s">
        <v>535</v>
      </c>
      <c r="EQ69" s="32"/>
      <c r="ER69" s="32"/>
    </row>
    <row r="70" spans="1:148" ht="29.25" customHeight="1" x14ac:dyDescent="0.3">
      <c r="A70" s="4">
        <v>148011</v>
      </c>
      <c r="B70" s="31"/>
      <c r="C70" s="31"/>
      <c r="D70" s="31"/>
      <c r="E70" s="31"/>
      <c r="F70" s="8" t="s">
        <v>94</v>
      </c>
      <c r="G70" s="31"/>
      <c r="H70" s="31"/>
      <c r="I70" s="31"/>
      <c r="J70" s="31"/>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1"/>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3"/>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t="s">
        <v>1139</v>
      </c>
      <c r="EP70" t="s">
        <v>529</v>
      </c>
      <c r="EQ70" s="32"/>
      <c r="ER70" s="32"/>
    </row>
    <row r="71" spans="1:148" ht="29.25" customHeight="1" x14ac:dyDescent="0.3">
      <c r="A71" s="4">
        <v>148074</v>
      </c>
      <c r="B71" s="31"/>
      <c r="C71" s="31"/>
      <c r="D71" s="31"/>
      <c r="E71" s="31"/>
      <c r="F71" s="4" t="s">
        <v>65</v>
      </c>
      <c r="G71" s="31"/>
      <c r="H71" s="31"/>
      <c r="I71" s="31"/>
      <c r="J71" s="31"/>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3"/>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t="s">
        <v>152</v>
      </c>
      <c r="EP71" t="s">
        <v>401</v>
      </c>
      <c r="EQ71" s="32"/>
      <c r="ER71" s="32"/>
    </row>
    <row r="72" spans="1:148" ht="29.25" customHeight="1" x14ac:dyDescent="0.3">
      <c r="A72" s="4">
        <v>148103</v>
      </c>
      <c r="B72" s="31"/>
      <c r="C72" s="31"/>
      <c r="D72" s="31"/>
      <c r="E72" s="31"/>
      <c r="F72" s="8" t="s">
        <v>76</v>
      </c>
      <c r="G72" s="31"/>
      <c r="H72" s="31"/>
      <c r="I72" s="31"/>
      <c r="J72" s="31"/>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1"/>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3"/>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t="s">
        <v>1181</v>
      </c>
      <c r="EP72" t="s">
        <v>544</v>
      </c>
      <c r="EQ72" s="32"/>
      <c r="ER72" s="32"/>
    </row>
    <row r="73" spans="1:148" ht="29.25" customHeight="1" x14ac:dyDescent="0.3">
      <c r="A73" s="4">
        <v>148108</v>
      </c>
      <c r="B73" s="31"/>
      <c r="C73" s="31"/>
      <c r="D73" s="31"/>
      <c r="E73" s="31"/>
      <c r="F73" s="6" t="s">
        <v>16</v>
      </c>
      <c r="G73" s="31"/>
      <c r="H73" s="31"/>
      <c r="I73" s="31"/>
      <c r="J73" s="31"/>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1"/>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3"/>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t="s">
        <v>1140</v>
      </c>
      <c r="EP73" t="s">
        <v>561</v>
      </c>
      <c r="EQ73" s="32"/>
      <c r="ER73" s="32"/>
    </row>
    <row r="74" spans="1:148" ht="29.25" customHeight="1" x14ac:dyDescent="0.3">
      <c r="A74" s="4">
        <v>148315</v>
      </c>
      <c r="B74" s="31"/>
      <c r="C74" s="31"/>
      <c r="D74" s="31"/>
      <c r="E74" s="31"/>
      <c r="F74" s="4" t="s">
        <v>88</v>
      </c>
      <c r="G74" s="31"/>
      <c r="H74" s="31"/>
      <c r="I74" s="31"/>
      <c r="J74" s="31"/>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1"/>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3"/>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t="s">
        <v>1161</v>
      </c>
      <c r="EP74" t="s">
        <v>433</v>
      </c>
      <c r="EQ74" s="32"/>
      <c r="ER74" s="32"/>
    </row>
    <row r="75" spans="1:148" ht="29.25" customHeight="1" x14ac:dyDescent="0.3">
      <c r="A75" s="4">
        <v>148468</v>
      </c>
      <c r="B75" s="31"/>
      <c r="C75" s="31"/>
      <c r="D75" s="31"/>
      <c r="E75" s="31"/>
      <c r="F75" s="4" t="s">
        <v>28</v>
      </c>
      <c r="G75" s="31"/>
      <c r="H75" s="31"/>
      <c r="I75" s="31"/>
      <c r="J75" s="31"/>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1"/>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3"/>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t="s">
        <v>196</v>
      </c>
      <c r="EP75" t="s">
        <v>554</v>
      </c>
      <c r="EQ75" s="32"/>
      <c r="ER75" s="32"/>
    </row>
    <row r="76" spans="1:148" ht="29.25" customHeight="1" x14ac:dyDescent="0.3">
      <c r="A76" s="4">
        <v>148695</v>
      </c>
      <c r="B76" s="31"/>
      <c r="C76" s="31"/>
      <c r="D76" s="31"/>
      <c r="E76" s="31"/>
      <c r="F76" s="4" t="s">
        <v>58</v>
      </c>
      <c r="G76" s="31"/>
      <c r="H76" s="31"/>
      <c r="I76" s="31"/>
      <c r="J76" s="31"/>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1"/>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3"/>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t="s">
        <v>1182</v>
      </c>
      <c r="EP76" t="s">
        <v>586</v>
      </c>
      <c r="EQ76" s="32"/>
      <c r="ER76" s="32"/>
    </row>
    <row r="77" spans="1:148" ht="29.25" customHeight="1" x14ac:dyDescent="0.3">
      <c r="A77" s="4">
        <v>148875</v>
      </c>
      <c r="B77" s="31"/>
      <c r="C77" s="31"/>
      <c r="D77" s="31"/>
      <c r="E77" s="31"/>
      <c r="F77" s="4" t="s">
        <v>32</v>
      </c>
      <c r="G77" s="31"/>
      <c r="H77" s="31"/>
      <c r="I77" s="31"/>
      <c r="J77" s="31"/>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1"/>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3"/>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t="s">
        <v>207</v>
      </c>
      <c r="EP77" t="s">
        <v>589</v>
      </c>
      <c r="EQ77" s="32"/>
      <c r="ER77" s="32"/>
    </row>
    <row r="78" spans="1:148" ht="29.25" customHeight="1" x14ac:dyDescent="0.3">
      <c r="A78" s="4">
        <v>149265</v>
      </c>
      <c r="B78" s="31"/>
      <c r="C78" s="31"/>
      <c r="D78" s="31"/>
      <c r="E78" s="31"/>
      <c r="F78" s="8" t="s">
        <v>113</v>
      </c>
      <c r="G78" s="31"/>
      <c r="H78" s="31"/>
      <c r="I78" s="31"/>
      <c r="J78" s="31"/>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1"/>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3"/>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t="s">
        <v>1183</v>
      </c>
      <c r="EP78" t="s">
        <v>592</v>
      </c>
      <c r="EQ78" s="32"/>
      <c r="ER78" s="32"/>
    </row>
    <row r="79" spans="1:148" ht="29.25" customHeight="1" x14ac:dyDescent="0.3">
      <c r="A79" s="4">
        <v>149415</v>
      </c>
      <c r="B79" s="31"/>
      <c r="C79" s="31"/>
      <c r="D79" s="31"/>
      <c r="E79" s="31"/>
      <c r="F79" s="8" t="s">
        <v>110</v>
      </c>
      <c r="G79" s="31"/>
      <c r="H79" s="31"/>
      <c r="I79" s="31"/>
      <c r="J79" s="31"/>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3"/>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t="s">
        <v>209</v>
      </c>
      <c r="EP79" t="s">
        <v>595</v>
      </c>
      <c r="EQ79" s="32"/>
      <c r="ER79" s="32"/>
    </row>
    <row r="80" spans="1:148" ht="29.25" customHeight="1" x14ac:dyDescent="0.3">
      <c r="A80" s="4">
        <v>149774</v>
      </c>
      <c r="B80" s="31"/>
      <c r="C80" s="31"/>
      <c r="D80" s="31"/>
      <c r="E80" s="31"/>
      <c r="F80" s="8" t="s">
        <v>116</v>
      </c>
      <c r="G80" s="31"/>
      <c r="H80" s="31"/>
      <c r="I80" s="31"/>
      <c r="J80" s="31"/>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1"/>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3"/>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t="s">
        <v>210</v>
      </c>
      <c r="EP80" t="s">
        <v>598</v>
      </c>
      <c r="EQ80" s="32"/>
      <c r="ER80" s="32"/>
    </row>
    <row r="81" spans="1:148" ht="29.25" customHeight="1" x14ac:dyDescent="0.3">
      <c r="A81" s="4">
        <v>149808</v>
      </c>
      <c r="B81" s="31"/>
      <c r="C81" s="31"/>
      <c r="D81" s="31"/>
      <c r="E81" s="31"/>
      <c r="F81" s="6" t="s">
        <v>25</v>
      </c>
      <c r="G81" s="31"/>
      <c r="H81" s="31"/>
      <c r="I81" s="31"/>
      <c r="J81" s="31"/>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3"/>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t="s">
        <v>832</v>
      </c>
      <c r="EP81" t="s">
        <v>601</v>
      </c>
      <c r="EQ81" s="32"/>
      <c r="ER81" s="32"/>
    </row>
    <row r="82" spans="1:148" ht="29.25" customHeight="1" x14ac:dyDescent="0.3">
      <c r="A82" s="4">
        <v>149889</v>
      </c>
      <c r="B82" s="31"/>
      <c r="C82" s="31"/>
      <c r="D82" s="31"/>
      <c r="E82" s="31"/>
      <c r="F82" s="4" t="s">
        <v>30</v>
      </c>
      <c r="G82" s="31"/>
      <c r="H82" s="31"/>
      <c r="I82" s="31"/>
      <c r="J82" s="31"/>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1"/>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3"/>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t="s">
        <v>1184</v>
      </c>
      <c r="EP82" t="s">
        <v>604</v>
      </c>
      <c r="EQ82" s="32"/>
      <c r="ER82" s="32"/>
    </row>
    <row r="83" spans="1:148" ht="29.25" customHeight="1" x14ac:dyDescent="0.3">
      <c r="A83" s="4">
        <v>150168</v>
      </c>
      <c r="B83" s="31"/>
      <c r="C83" s="31"/>
      <c r="D83" s="31"/>
      <c r="E83" s="31"/>
      <c r="F83" s="4" t="s">
        <v>38</v>
      </c>
      <c r="G83" s="31"/>
      <c r="H83" s="31"/>
      <c r="I83" s="31"/>
      <c r="J83" s="31"/>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1"/>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3"/>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t="s">
        <v>213</v>
      </c>
      <c r="EP83" t="s">
        <v>607</v>
      </c>
      <c r="EQ83" s="32"/>
      <c r="ER83" s="32"/>
    </row>
    <row r="84" spans="1:148" ht="29.25" customHeight="1" x14ac:dyDescent="0.3">
      <c r="A84" s="4">
        <v>150170</v>
      </c>
      <c r="B84" s="31"/>
      <c r="C84" s="31"/>
      <c r="D84" s="31"/>
      <c r="E84" s="31"/>
      <c r="F84" s="4" t="s">
        <v>41</v>
      </c>
      <c r="G84" s="31"/>
      <c r="H84" s="31"/>
      <c r="I84" s="31"/>
      <c r="J84" s="31"/>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1"/>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3"/>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t="s">
        <v>214</v>
      </c>
      <c r="EP84" t="s">
        <v>610</v>
      </c>
      <c r="EQ84" s="32"/>
      <c r="ER84" s="32"/>
    </row>
    <row r="85" spans="1:148" ht="29.25" customHeight="1" x14ac:dyDescent="0.3">
      <c r="A85" s="4">
        <v>150318</v>
      </c>
      <c r="B85" s="31"/>
      <c r="C85" s="31"/>
      <c r="D85" s="31"/>
      <c r="E85" s="31"/>
      <c r="F85" s="8" t="s">
        <v>115</v>
      </c>
      <c r="G85" s="31"/>
      <c r="H85" s="31"/>
      <c r="I85" s="31"/>
      <c r="J85" s="31"/>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3"/>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t="s">
        <v>215</v>
      </c>
      <c r="EP85" t="s">
        <v>613</v>
      </c>
      <c r="EQ85" s="32"/>
      <c r="ER85" s="32"/>
    </row>
    <row r="86" spans="1:148" ht="29.25" customHeight="1" x14ac:dyDescent="0.3">
      <c r="A86" s="4">
        <v>150411</v>
      </c>
      <c r="B86" s="31"/>
      <c r="C86" s="31"/>
      <c r="D86" s="31"/>
      <c r="E86" s="31"/>
      <c r="F86" s="8" t="s">
        <v>68</v>
      </c>
      <c r="G86" s="31"/>
      <c r="H86" s="31"/>
      <c r="I86" s="31"/>
      <c r="J86" s="31"/>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1"/>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3"/>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t="s">
        <v>1185</v>
      </c>
      <c r="EP86" t="s">
        <v>616</v>
      </c>
      <c r="EQ86" s="32"/>
      <c r="ER86" s="32"/>
    </row>
    <row r="87" spans="1:148" ht="29.25" customHeight="1" x14ac:dyDescent="0.3">
      <c r="A87" s="4">
        <v>150709</v>
      </c>
      <c r="B87" s="31"/>
      <c r="C87" s="31"/>
      <c r="D87" s="31"/>
      <c r="E87" s="31"/>
      <c r="F87" s="4" t="s">
        <v>59</v>
      </c>
      <c r="G87" s="31"/>
      <c r="H87" s="31"/>
      <c r="I87" s="31"/>
      <c r="J87" s="31"/>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3"/>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t="s">
        <v>217</v>
      </c>
      <c r="EP87" t="s">
        <v>619</v>
      </c>
      <c r="EQ87" s="32"/>
      <c r="ER87" s="32"/>
    </row>
    <row r="88" spans="1:148" ht="29.25" customHeight="1" x14ac:dyDescent="0.3">
      <c r="A88" s="4">
        <v>150796</v>
      </c>
      <c r="B88" s="31"/>
      <c r="C88" s="31"/>
      <c r="D88" s="31"/>
      <c r="E88" s="31"/>
      <c r="F88" s="4" t="s">
        <v>20</v>
      </c>
      <c r="G88" s="31"/>
      <c r="H88" s="31"/>
      <c r="I88" s="31"/>
      <c r="J88" s="31"/>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1"/>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3"/>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t="s">
        <v>218</v>
      </c>
      <c r="EP88" t="s">
        <v>622</v>
      </c>
      <c r="EQ88" s="32"/>
      <c r="ER88" s="32"/>
    </row>
    <row r="89" spans="1:148" ht="29.25" customHeight="1" x14ac:dyDescent="0.3">
      <c r="A89" s="4">
        <v>150898</v>
      </c>
      <c r="B89" s="31"/>
      <c r="C89" s="31"/>
      <c r="D89" s="31"/>
      <c r="E89" s="31"/>
      <c r="F89" s="4" t="s">
        <v>87</v>
      </c>
      <c r="G89" s="31"/>
      <c r="H89" s="31"/>
      <c r="I89" s="31"/>
      <c r="J89" s="31"/>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1"/>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3"/>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t="s">
        <v>219</v>
      </c>
      <c r="EP89" t="s">
        <v>625</v>
      </c>
      <c r="EQ89" s="32"/>
      <c r="ER89" s="32"/>
    </row>
    <row r="90" spans="1:148" ht="29.25" customHeight="1" x14ac:dyDescent="0.3">
      <c r="A90" s="4">
        <v>150963</v>
      </c>
      <c r="B90" s="31"/>
      <c r="C90" s="31"/>
      <c r="D90" s="31"/>
      <c r="E90" s="31"/>
      <c r="F90" s="8" t="s">
        <v>70</v>
      </c>
      <c r="G90" s="31"/>
      <c r="H90" s="31"/>
      <c r="I90" s="31"/>
      <c r="J90" s="31"/>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1"/>
      <c r="BU90" s="31"/>
      <c r="BV90" s="31"/>
      <c r="BW90" s="31"/>
      <c r="BX90" s="31"/>
      <c r="BY90" s="31"/>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3"/>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t="s">
        <v>220</v>
      </c>
      <c r="EP90" t="s">
        <v>931</v>
      </c>
      <c r="EQ90" s="32"/>
      <c r="ER90" s="32"/>
    </row>
    <row r="91" spans="1:148" ht="29.25" customHeight="1" x14ac:dyDescent="0.3">
      <c r="A91" s="4">
        <v>150979</v>
      </c>
      <c r="B91" s="31"/>
      <c r="C91" s="31"/>
      <c r="D91" s="31"/>
      <c r="E91" s="31"/>
      <c r="F91" s="4" t="s">
        <v>52</v>
      </c>
      <c r="G91" s="31"/>
      <c r="H91" s="31"/>
      <c r="I91" s="31"/>
      <c r="J91" s="31"/>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c r="BW91" s="31"/>
      <c r="BX91" s="31"/>
      <c r="BY91" s="31"/>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3"/>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t="s">
        <v>221</v>
      </c>
      <c r="EP91" t="s">
        <v>932</v>
      </c>
      <c r="EQ91" s="32"/>
      <c r="ER91" s="32"/>
    </row>
    <row r="92" spans="1:148" ht="29.25" customHeight="1" x14ac:dyDescent="0.3">
      <c r="A92" s="4">
        <v>150990</v>
      </c>
      <c r="B92" s="31"/>
      <c r="C92" s="31"/>
      <c r="D92" s="31"/>
      <c r="E92" s="31"/>
      <c r="F92" s="4" t="s">
        <v>48</v>
      </c>
      <c r="G92" s="31"/>
      <c r="H92" s="31"/>
      <c r="I92" s="31"/>
      <c r="J92" s="31"/>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c r="BO92" s="31"/>
      <c r="BP92" s="31"/>
      <c r="BQ92" s="31"/>
      <c r="BR92" s="31"/>
      <c r="BS92" s="31"/>
      <c r="BT92" s="31"/>
      <c r="BU92" s="31"/>
      <c r="BV92" s="31"/>
      <c r="BW92" s="31"/>
      <c r="BX92" s="31"/>
      <c r="BY92" s="31"/>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3"/>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t="s">
        <v>222</v>
      </c>
      <c r="EP92" t="s">
        <v>632</v>
      </c>
      <c r="EQ92" s="32"/>
      <c r="ER92" s="32"/>
    </row>
    <row r="93" spans="1:148" ht="29.25" customHeight="1" x14ac:dyDescent="0.3">
      <c r="A93" s="4">
        <v>151037</v>
      </c>
      <c r="B93" s="31"/>
      <c r="C93" s="31"/>
      <c r="D93" s="31"/>
      <c r="E93" s="31"/>
      <c r="F93" s="8" t="s">
        <v>101</v>
      </c>
      <c r="G93" s="31"/>
      <c r="H93" s="31"/>
      <c r="I93" s="31"/>
      <c r="J93" s="31"/>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1"/>
      <c r="BW93" s="31"/>
      <c r="BX93" s="31"/>
      <c r="BY93" s="31"/>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3"/>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t="s">
        <v>223</v>
      </c>
      <c r="EP93" t="s">
        <v>635</v>
      </c>
      <c r="EQ93" s="32"/>
      <c r="ER93" s="32"/>
    </row>
    <row r="94" spans="1:148" ht="29.25" customHeight="1" x14ac:dyDescent="0.3">
      <c r="A94" s="4">
        <v>151130</v>
      </c>
      <c r="B94" s="31"/>
      <c r="C94" s="31"/>
      <c r="D94" s="31"/>
      <c r="E94" s="31"/>
      <c r="F94" s="6" t="s">
        <v>19</v>
      </c>
      <c r="G94" s="31"/>
      <c r="H94" s="31"/>
      <c r="I94" s="31"/>
      <c r="J94" s="31"/>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c r="BW94" s="31"/>
      <c r="BX94" s="31"/>
      <c r="BY94" s="31"/>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3"/>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t="s">
        <v>224</v>
      </c>
      <c r="EP94" t="s">
        <v>638</v>
      </c>
      <c r="EQ94" s="32"/>
      <c r="ER94" s="32"/>
    </row>
    <row r="95" spans="1:148" ht="29.25" customHeight="1" x14ac:dyDescent="0.3">
      <c r="A95" s="4">
        <v>151170</v>
      </c>
      <c r="B95" s="31"/>
      <c r="C95" s="31"/>
      <c r="D95" s="31"/>
      <c r="E95" s="31"/>
      <c r="F95" s="8" t="s">
        <v>67</v>
      </c>
      <c r="G95" s="31"/>
      <c r="H95" s="31"/>
      <c r="I95" s="31"/>
      <c r="J95" s="31"/>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c r="BO95" s="31"/>
      <c r="BP95" s="31"/>
      <c r="BQ95" s="31"/>
      <c r="BR95" s="31"/>
      <c r="BS95" s="31"/>
      <c r="BT95" s="31"/>
      <c r="BU95" s="31"/>
      <c r="BV95" s="31"/>
      <c r="BW95" s="31"/>
      <c r="BX95" s="31"/>
      <c r="BY95" s="31"/>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3"/>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t="s">
        <v>225</v>
      </c>
      <c r="EP95" t="s">
        <v>933</v>
      </c>
      <c r="EQ95" s="32"/>
      <c r="ER95" s="32"/>
    </row>
    <row r="96" spans="1:148" ht="29.25" customHeight="1" x14ac:dyDescent="0.3">
      <c r="A96" s="4">
        <v>151362</v>
      </c>
      <c r="B96" s="31"/>
      <c r="C96" s="31"/>
      <c r="D96" s="31"/>
      <c r="E96" s="31"/>
      <c r="F96" s="4" t="s">
        <v>51</v>
      </c>
      <c r="G96" s="31"/>
      <c r="H96" s="31"/>
      <c r="I96" s="31"/>
      <c r="J96" s="31"/>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c r="BU96" s="31"/>
      <c r="BV96" s="31"/>
      <c r="BW96" s="31"/>
      <c r="BX96" s="31"/>
      <c r="BY96" s="31"/>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3"/>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t="s">
        <v>226</v>
      </c>
      <c r="EP96" t="s">
        <v>934</v>
      </c>
      <c r="EQ96" s="32"/>
      <c r="ER96" s="32"/>
    </row>
    <row r="97" spans="1:148" ht="29.25" customHeight="1" x14ac:dyDescent="0.3">
      <c r="A97" s="9">
        <v>151413</v>
      </c>
      <c r="B97" s="31"/>
      <c r="C97" s="31"/>
      <c r="D97" s="31"/>
      <c r="E97" s="31"/>
      <c r="F97" s="8" t="s">
        <v>73</v>
      </c>
      <c r="G97" s="31"/>
      <c r="H97" s="31"/>
      <c r="I97" s="31"/>
      <c r="J97" s="31"/>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c r="BW97" s="31"/>
      <c r="BX97" s="31"/>
      <c r="BY97" s="31"/>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3"/>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t="s">
        <v>227</v>
      </c>
      <c r="EP97" t="s">
        <v>648</v>
      </c>
      <c r="EQ97" s="32"/>
      <c r="ER97" s="32"/>
    </row>
    <row r="98" spans="1:148" ht="29.25" customHeight="1" x14ac:dyDescent="0.3">
      <c r="A98" s="4">
        <v>151570</v>
      </c>
      <c r="B98" s="31"/>
      <c r="C98" s="31"/>
      <c r="D98" s="31"/>
      <c r="E98" s="31"/>
      <c r="F98" s="8" t="s">
        <v>81</v>
      </c>
      <c r="G98" s="31"/>
      <c r="H98" s="31"/>
      <c r="I98" s="31"/>
      <c r="J98" s="31"/>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c r="BU98" s="31"/>
      <c r="BV98" s="31"/>
      <c r="BW98" s="31"/>
      <c r="BX98" s="31"/>
      <c r="BY98" s="31"/>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3"/>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t="s">
        <v>228</v>
      </c>
      <c r="EP98" t="s">
        <v>649</v>
      </c>
      <c r="EQ98" s="32"/>
      <c r="ER98" s="32"/>
    </row>
    <row r="99" spans="1:148" ht="29.25" customHeight="1" x14ac:dyDescent="0.3">
      <c r="A99" s="4">
        <v>152074</v>
      </c>
      <c r="B99" s="31"/>
      <c r="C99" s="31"/>
      <c r="D99" s="31"/>
      <c r="E99" s="31"/>
      <c r="F99" s="4" t="s">
        <v>36</v>
      </c>
      <c r="G99" s="31"/>
      <c r="H99" s="31"/>
      <c r="I99" s="31"/>
      <c r="J99" s="31"/>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c r="BV99" s="31"/>
      <c r="BW99" s="31"/>
      <c r="BX99" s="31"/>
      <c r="BY99" s="31"/>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3"/>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t="s">
        <v>1142</v>
      </c>
      <c r="EP99" t="s">
        <v>653</v>
      </c>
      <c r="EQ99" s="32"/>
      <c r="ER99" s="32"/>
    </row>
    <row r="100" spans="1:148" ht="29.25" customHeight="1" x14ac:dyDescent="0.3">
      <c r="A100" s="4">
        <v>152080</v>
      </c>
      <c r="B100" s="31"/>
      <c r="C100" s="31"/>
      <c r="D100" s="31"/>
      <c r="E100" s="31"/>
      <c r="F100" s="7" t="s">
        <v>107</v>
      </c>
      <c r="G100" s="31"/>
      <c r="H100" s="31"/>
      <c r="I100" s="31"/>
      <c r="J100" s="31"/>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3"/>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t="s">
        <v>229</v>
      </c>
      <c r="EP100" t="s">
        <v>657</v>
      </c>
      <c r="EQ100" s="32"/>
      <c r="ER100" s="32"/>
    </row>
    <row r="101" spans="1:148" ht="29.25" customHeight="1" x14ac:dyDescent="0.3">
      <c r="A101" s="4">
        <v>152139</v>
      </c>
      <c r="B101" s="31"/>
      <c r="C101" s="31"/>
      <c r="D101" s="31"/>
      <c r="E101" s="31"/>
      <c r="F101" s="8" t="s">
        <v>108</v>
      </c>
      <c r="G101" s="31"/>
      <c r="H101" s="31"/>
      <c r="I101" s="31"/>
      <c r="J101" s="31"/>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3"/>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t="s">
        <v>230</v>
      </c>
      <c r="EP101" t="s">
        <v>660</v>
      </c>
      <c r="EQ101" s="32"/>
      <c r="ER101" s="32"/>
    </row>
    <row r="102" spans="1:148" ht="29.25" customHeight="1" x14ac:dyDescent="0.3">
      <c r="A102" s="4">
        <v>152231</v>
      </c>
      <c r="B102" s="31"/>
      <c r="C102" s="31"/>
      <c r="D102" s="31"/>
      <c r="E102" s="31"/>
      <c r="F102" s="10" t="s">
        <v>72</v>
      </c>
      <c r="G102" s="31"/>
      <c r="H102" s="31"/>
      <c r="I102" s="31"/>
      <c r="J102" s="31"/>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3"/>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t="s">
        <v>231</v>
      </c>
      <c r="EP102" t="s">
        <v>663</v>
      </c>
      <c r="EQ102" s="32"/>
      <c r="ER102" s="32"/>
    </row>
    <row r="103" spans="1:148" ht="29.25" customHeight="1" x14ac:dyDescent="0.3">
      <c r="A103" s="4">
        <v>152705</v>
      </c>
      <c r="B103" s="31"/>
      <c r="C103" s="31"/>
      <c r="D103" s="31"/>
      <c r="E103" s="31"/>
      <c r="F103" s="4" t="s">
        <v>40</v>
      </c>
      <c r="G103" s="31"/>
      <c r="H103" s="31"/>
      <c r="I103" s="31"/>
      <c r="J103" s="31"/>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3"/>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t="s">
        <v>232</v>
      </c>
      <c r="EP103" t="s">
        <v>664</v>
      </c>
      <c r="EQ103" s="32"/>
      <c r="ER103" s="32"/>
    </row>
    <row r="104" spans="1:148" ht="29.25" customHeight="1" x14ac:dyDescent="0.3">
      <c r="A104" s="4">
        <v>152913</v>
      </c>
      <c r="B104" s="31"/>
      <c r="C104" s="31"/>
      <c r="D104" s="31"/>
      <c r="E104" s="31"/>
      <c r="F104" s="4" t="s">
        <v>24</v>
      </c>
      <c r="G104" s="31"/>
      <c r="H104" s="31"/>
      <c r="I104" s="31"/>
      <c r="J104" s="31"/>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c r="BX104" s="31"/>
      <c r="BY104" s="31"/>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3"/>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t="s">
        <v>233</v>
      </c>
      <c r="EP104" t="s">
        <v>668</v>
      </c>
      <c r="EQ104" s="32"/>
      <c r="ER104" s="32"/>
    </row>
    <row r="105" spans="1:148" ht="29.25" customHeight="1" x14ac:dyDescent="0.3">
      <c r="A105" s="4">
        <v>152924</v>
      </c>
      <c r="B105" s="31"/>
      <c r="C105" s="31"/>
      <c r="D105" s="31"/>
      <c r="E105" s="31"/>
      <c r="F105" s="4" t="s">
        <v>44</v>
      </c>
      <c r="G105" s="31"/>
      <c r="H105" s="31"/>
      <c r="I105" s="31"/>
      <c r="J105" s="31"/>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3"/>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t="s">
        <v>234</v>
      </c>
      <c r="EP105" t="s">
        <v>669</v>
      </c>
      <c r="EQ105" s="32"/>
      <c r="ER105" s="32"/>
    </row>
    <row r="106" spans="1:148" ht="29.25" customHeight="1" x14ac:dyDescent="0.3">
      <c r="A106" s="4">
        <v>152992</v>
      </c>
      <c r="B106" s="31"/>
      <c r="C106" s="31"/>
      <c r="D106" s="31"/>
      <c r="E106" s="31"/>
      <c r="F106" s="8" t="s">
        <v>95</v>
      </c>
      <c r="G106" s="31"/>
      <c r="H106" s="31"/>
      <c r="I106" s="31"/>
      <c r="J106" s="31"/>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1"/>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3"/>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t="s">
        <v>235</v>
      </c>
      <c r="EP106" t="s">
        <v>673</v>
      </c>
      <c r="EQ106" s="32"/>
      <c r="ER106" s="32"/>
    </row>
    <row r="107" spans="1:148" ht="29.25" customHeight="1" x14ac:dyDescent="0.3">
      <c r="A107" s="4">
        <v>153032</v>
      </c>
      <c r="B107" s="31"/>
      <c r="C107" s="31"/>
      <c r="D107" s="31"/>
      <c r="E107" s="31"/>
      <c r="F107" s="8" t="s">
        <v>118</v>
      </c>
      <c r="G107" s="31"/>
      <c r="H107" s="31"/>
      <c r="I107" s="31"/>
      <c r="J107" s="31"/>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1"/>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3"/>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t="s">
        <v>236</v>
      </c>
      <c r="EP107" t="s">
        <v>676</v>
      </c>
      <c r="EQ107" s="32"/>
      <c r="ER107" s="32"/>
    </row>
    <row r="108" spans="1:148" ht="29.25" customHeight="1" x14ac:dyDescent="0.3">
      <c r="A108" s="4">
        <v>153133</v>
      </c>
      <c r="B108" s="31"/>
      <c r="C108" s="31"/>
      <c r="D108" s="31"/>
      <c r="E108" s="31"/>
      <c r="F108" s="4" t="s">
        <v>46</v>
      </c>
      <c r="G108" s="31"/>
      <c r="H108" s="31"/>
      <c r="I108" s="31"/>
      <c r="J108" s="31"/>
      <c r="K108" s="31"/>
      <c r="L108" s="19"/>
      <c r="M108" s="31"/>
      <c r="N108" s="31"/>
      <c r="O108" s="31"/>
      <c r="P108" s="31"/>
      <c r="Q108" s="31"/>
      <c r="R108" s="31"/>
      <c r="S108" s="31"/>
      <c r="T108" s="31"/>
      <c r="U108" s="31"/>
      <c r="V108" s="31"/>
      <c r="W108" s="31"/>
      <c r="X108" s="31"/>
      <c r="Y108" s="32"/>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1"/>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3"/>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t="s">
        <v>235</v>
      </c>
      <c r="EP108" t="s">
        <v>679</v>
      </c>
      <c r="EQ108" s="32"/>
      <c r="ER108" s="32"/>
    </row>
    <row r="109" spans="1:148" ht="29.25" customHeight="1" x14ac:dyDescent="0.3">
      <c r="A109" s="4">
        <v>153421</v>
      </c>
      <c r="B109" s="31"/>
      <c r="C109" s="31"/>
      <c r="D109" s="31"/>
      <c r="E109" s="31"/>
      <c r="F109" s="4" t="s">
        <v>50</v>
      </c>
      <c r="G109" s="31"/>
      <c r="H109" s="31"/>
      <c r="I109" s="31"/>
      <c r="J109" s="31"/>
      <c r="K109" s="31"/>
      <c r="L109" s="19"/>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1"/>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3"/>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t="s">
        <v>236</v>
      </c>
      <c r="EP109" t="s">
        <v>676</v>
      </c>
      <c r="EQ109" s="32"/>
      <c r="ER109" s="32"/>
    </row>
    <row r="110" spans="1:148" ht="29.25" customHeight="1" x14ac:dyDescent="0.3">
      <c r="A110" s="4">
        <v>153665</v>
      </c>
      <c r="B110" s="31"/>
      <c r="C110" s="31"/>
      <c r="D110" s="31"/>
      <c r="E110" s="31"/>
      <c r="F110" s="8" t="s">
        <v>109</v>
      </c>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3"/>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t="s">
        <v>237</v>
      </c>
      <c r="EP110" t="s">
        <v>685</v>
      </c>
      <c r="EQ110" s="32"/>
      <c r="ER110" s="32"/>
    </row>
    <row r="111" spans="1:148" ht="29.25" customHeight="1" x14ac:dyDescent="0.3">
      <c r="A111" s="4">
        <v>154135</v>
      </c>
      <c r="B111" s="31"/>
      <c r="C111" s="31"/>
      <c r="D111" s="31"/>
      <c r="E111" s="31"/>
      <c r="F111" s="4" t="s">
        <v>92</v>
      </c>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1"/>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3"/>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t="s">
        <v>238</v>
      </c>
      <c r="EP111" t="s">
        <v>686</v>
      </c>
      <c r="EQ111" s="32"/>
      <c r="ER111" s="32"/>
    </row>
    <row r="112" spans="1:148" ht="29.25" customHeight="1" x14ac:dyDescent="0.3">
      <c r="A112" s="4">
        <v>154138</v>
      </c>
      <c r="B112" s="31"/>
      <c r="C112" s="31"/>
      <c r="D112" s="31"/>
      <c r="E112" s="31"/>
      <c r="F112" s="8" t="s">
        <v>78</v>
      </c>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1"/>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3"/>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t="s">
        <v>239</v>
      </c>
      <c r="EP112" t="s">
        <v>689</v>
      </c>
      <c r="EQ112" s="32"/>
      <c r="ER112" s="32"/>
    </row>
    <row r="113" spans="1:148" ht="29.25" customHeight="1" x14ac:dyDescent="0.3">
      <c r="A113" s="4">
        <v>154895</v>
      </c>
      <c r="B113" s="31"/>
      <c r="C113" s="31"/>
      <c r="D113" s="31"/>
      <c r="E113" s="31"/>
      <c r="F113" s="4" t="s">
        <v>21</v>
      </c>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3"/>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t="s">
        <v>240</v>
      </c>
      <c r="EP113" t="s">
        <v>692</v>
      </c>
      <c r="EQ113" s="32"/>
      <c r="ER113" s="32"/>
    </row>
    <row r="114" spans="1:148" ht="29.25" customHeight="1" x14ac:dyDescent="0.3">
      <c r="A114" s="4">
        <v>155148</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3"/>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t="s">
        <v>1227</v>
      </c>
      <c r="EP114" t="s">
        <v>1228</v>
      </c>
      <c r="EQ114" s="32"/>
      <c r="ER114" s="32"/>
    </row>
    <row r="115" spans="1:148" ht="29.25" customHeight="1" x14ac:dyDescent="0.3">
      <c r="A115" s="4">
        <v>155154</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2"/>
      <c r="CA115" s="32"/>
      <c r="CB115" s="32"/>
      <c r="CC115" s="32"/>
      <c r="CD115" s="32"/>
      <c r="CE115" s="32"/>
      <c r="CF115" s="32"/>
      <c r="CG115" s="32"/>
      <c r="CH115" s="32"/>
      <c r="CI115" s="32"/>
      <c r="CJ115" s="32"/>
      <c r="CK115" s="32"/>
      <c r="CL115" s="32"/>
      <c r="CM115" s="32"/>
      <c r="CN115" s="32"/>
      <c r="CO115" s="32"/>
      <c r="CP115" s="32"/>
      <c r="CQ115" s="32"/>
      <c r="CR115" s="32"/>
      <c r="CS115" s="32"/>
      <c r="CT115" s="32"/>
      <c r="CU115" s="32"/>
      <c r="CV115" s="32"/>
      <c r="CW115" s="32"/>
      <c r="CX115" s="32"/>
      <c r="CY115" s="32"/>
      <c r="CZ115" s="32"/>
      <c r="DA115" s="32"/>
      <c r="DB115" s="32"/>
      <c r="DC115" s="32"/>
      <c r="DD115" s="32"/>
      <c r="DE115" s="32"/>
      <c r="DF115" s="32"/>
      <c r="DG115" s="32"/>
      <c r="DH115" s="32"/>
      <c r="DI115" s="32"/>
      <c r="DJ115" s="33"/>
      <c r="DK115" s="32"/>
      <c r="DL115" s="32"/>
      <c r="DM115" s="32"/>
      <c r="DN115" s="32"/>
      <c r="DO115" s="32"/>
      <c r="DP115" s="32"/>
      <c r="DQ115" s="32"/>
      <c r="DR115" s="32"/>
      <c r="DS115" s="32"/>
      <c r="DT115" s="32"/>
      <c r="DU115" s="32"/>
      <c r="DV115" s="32"/>
      <c r="DW115" s="32"/>
      <c r="DX115" s="32"/>
      <c r="DY115" s="32"/>
      <c r="DZ115" s="32"/>
      <c r="EA115" s="32"/>
      <c r="EB115" s="32"/>
      <c r="EC115" s="32"/>
      <c r="ED115" s="32"/>
      <c r="EE115" s="32"/>
      <c r="EF115" s="32"/>
      <c r="EG115" s="32"/>
      <c r="EH115" s="32"/>
      <c r="EI115" s="32"/>
      <c r="EJ115" s="32"/>
      <c r="EK115" s="32"/>
      <c r="EL115" s="32"/>
      <c r="EM115" s="32"/>
      <c r="EN115" s="32"/>
      <c r="EO115" t="s">
        <v>241</v>
      </c>
      <c r="EP115" t="s">
        <v>1196</v>
      </c>
      <c r="EQ115" s="32"/>
      <c r="ER115" s="32"/>
    </row>
    <row r="116" spans="1:148" ht="29.25" customHeight="1" x14ac:dyDescent="0.3">
      <c r="A116" s="4">
        <v>155454</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2"/>
      <c r="CA116" s="32"/>
      <c r="CB116" s="32"/>
      <c r="CC116" s="32"/>
      <c r="CD116" s="32"/>
      <c r="CE116" s="32"/>
      <c r="CF116" s="32"/>
      <c r="CG116" s="32"/>
      <c r="CH116" s="32"/>
      <c r="CI116" s="32"/>
      <c r="CJ116" s="32"/>
      <c r="CK116" s="32"/>
      <c r="CL116" s="32"/>
      <c r="CM116" s="32"/>
      <c r="CN116" s="32"/>
      <c r="CO116" s="32"/>
      <c r="CP116" s="32"/>
      <c r="CQ116" s="32"/>
      <c r="CR116" s="32"/>
      <c r="CS116" s="32"/>
      <c r="CT116" s="32"/>
      <c r="CU116" s="32"/>
      <c r="CV116" s="32"/>
      <c r="CW116" s="32"/>
      <c r="CX116" s="32"/>
      <c r="CY116" s="32"/>
      <c r="CZ116" s="32"/>
      <c r="DA116" s="32"/>
      <c r="DB116" s="32"/>
      <c r="DC116" s="32"/>
      <c r="DD116" s="32"/>
      <c r="DE116" s="32"/>
      <c r="DF116" s="32"/>
      <c r="DG116" s="32"/>
      <c r="DH116" s="32"/>
      <c r="DI116" s="32"/>
      <c r="DJ116" s="33"/>
      <c r="DK116" s="32"/>
      <c r="DL116" s="32"/>
      <c r="DM116" s="32"/>
      <c r="DN116" s="32"/>
      <c r="DO116" s="32"/>
      <c r="DP116" s="32"/>
      <c r="DQ116" s="32"/>
      <c r="DR116" s="32"/>
      <c r="DS116" s="32"/>
      <c r="DT116" s="32"/>
      <c r="DU116" s="32"/>
      <c r="DV116" s="32"/>
      <c r="DW116" s="32"/>
      <c r="DX116" s="32"/>
      <c r="DY116" s="32"/>
      <c r="DZ116" s="32"/>
      <c r="EA116" s="32"/>
      <c r="EB116" s="32"/>
      <c r="EC116" s="32"/>
      <c r="ED116" s="32"/>
      <c r="EE116" s="32"/>
      <c r="EF116" s="32"/>
      <c r="EG116" s="32"/>
      <c r="EH116" s="32"/>
      <c r="EI116" s="32"/>
      <c r="EJ116" s="32"/>
      <c r="EK116" s="32"/>
      <c r="EL116" s="32"/>
      <c r="EM116" s="32"/>
      <c r="EN116" s="32"/>
      <c r="EO116" t="s">
        <v>242</v>
      </c>
      <c r="EP116" t="s">
        <v>698</v>
      </c>
      <c r="EQ116" s="32"/>
      <c r="ER116" s="32"/>
    </row>
    <row r="117" spans="1:148" ht="29.25" customHeight="1" x14ac:dyDescent="0.3">
      <c r="A117" s="4">
        <v>155484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2"/>
      <c r="CA117" s="32"/>
      <c r="CB117" s="32"/>
      <c r="CC117" s="32"/>
      <c r="CD117" s="32"/>
      <c r="CE117" s="32"/>
      <c r="CF117" s="32"/>
      <c r="CG117" s="32"/>
      <c r="CH117" s="32"/>
      <c r="CI117" s="32"/>
      <c r="CJ117" s="32"/>
      <c r="CK117" s="32"/>
      <c r="CL117" s="32"/>
      <c r="CM117" s="32"/>
      <c r="CN117" s="32"/>
      <c r="CO117" s="32"/>
      <c r="CP117" s="32"/>
      <c r="CQ117" s="32"/>
      <c r="CR117" s="32"/>
      <c r="CS117" s="32"/>
      <c r="CT117" s="32"/>
      <c r="CU117" s="32"/>
      <c r="CV117" s="32"/>
      <c r="CW117" s="32"/>
      <c r="CX117" s="32"/>
      <c r="CY117" s="32"/>
      <c r="CZ117" s="32"/>
      <c r="DA117" s="32"/>
      <c r="DB117" s="32"/>
      <c r="DC117" s="32"/>
      <c r="DD117" s="32"/>
      <c r="DE117" s="32"/>
      <c r="DF117" s="32"/>
      <c r="DG117" s="32"/>
      <c r="DH117" s="32"/>
      <c r="DI117" s="32"/>
      <c r="DJ117" s="33"/>
      <c r="DK117" s="32"/>
      <c r="DL117" s="32"/>
      <c r="DM117" s="32"/>
      <c r="DN117" s="32"/>
      <c r="DO117" s="32"/>
      <c r="DP117" s="32"/>
      <c r="DQ117" s="32"/>
      <c r="DR117" s="32"/>
      <c r="DS117" s="32"/>
      <c r="DT117" s="32"/>
      <c r="DU117" s="32"/>
      <c r="DV117" s="32"/>
      <c r="DW117" s="32"/>
      <c r="DX117" s="32"/>
      <c r="DY117" s="32"/>
      <c r="DZ117" s="32"/>
      <c r="EA117" s="32"/>
      <c r="EB117" s="32"/>
      <c r="EC117" s="32"/>
      <c r="ED117" s="32"/>
      <c r="EE117" s="32"/>
      <c r="EF117" s="32"/>
      <c r="EG117" s="32"/>
      <c r="EH117" s="32"/>
      <c r="EI117" s="32"/>
      <c r="EJ117" s="32"/>
      <c r="EK117" s="32"/>
      <c r="EL117" s="32"/>
      <c r="EM117" s="32"/>
      <c r="EN117" s="32"/>
      <c r="EO117" t="s">
        <v>243</v>
      </c>
      <c r="EP117" t="s">
        <v>701</v>
      </c>
      <c r="EQ117" s="32"/>
      <c r="ER117" s="32"/>
    </row>
    <row r="118" spans="1:148" ht="29.25" customHeight="1" x14ac:dyDescent="0.3">
      <c r="A118" s="4">
        <v>155485</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c r="CV118" s="32"/>
      <c r="CW118" s="32"/>
      <c r="CX118" s="32"/>
      <c r="CY118" s="32"/>
      <c r="CZ118" s="32"/>
      <c r="DA118" s="32"/>
      <c r="DB118" s="32"/>
      <c r="DC118" s="32"/>
      <c r="DD118" s="32"/>
      <c r="DE118" s="32"/>
      <c r="DF118" s="32"/>
      <c r="DG118" s="32"/>
      <c r="DH118" s="32"/>
      <c r="DI118" s="32"/>
      <c r="DJ118" s="33"/>
      <c r="DK118" s="32"/>
      <c r="DL118" s="32"/>
      <c r="DM118" s="32"/>
      <c r="DN118" s="32"/>
      <c r="DO118" s="32"/>
      <c r="DP118" s="32"/>
      <c r="DQ118" s="32"/>
      <c r="DR118" s="32"/>
      <c r="DS118" s="32"/>
      <c r="DT118" s="32"/>
      <c r="DU118" s="32"/>
      <c r="DV118" s="32"/>
      <c r="DW118" s="32"/>
      <c r="DX118" s="32"/>
      <c r="DY118" s="32"/>
      <c r="DZ118" s="32"/>
      <c r="EA118" s="32"/>
      <c r="EB118" s="32"/>
      <c r="EC118" s="32"/>
      <c r="ED118" s="32"/>
      <c r="EE118" s="32"/>
      <c r="EF118" s="32"/>
      <c r="EG118" s="32"/>
      <c r="EH118" s="32"/>
      <c r="EI118" s="32"/>
      <c r="EJ118" s="32"/>
      <c r="EK118" s="32"/>
      <c r="EL118" s="32"/>
      <c r="EM118" s="32"/>
      <c r="EN118" s="32"/>
      <c r="EO118" t="s">
        <v>244</v>
      </c>
      <c r="EP118" t="s">
        <v>1198</v>
      </c>
      <c r="EQ118" s="32"/>
      <c r="ER118" s="32"/>
    </row>
    <row r="119" spans="1:148" ht="29.25" customHeight="1" x14ac:dyDescent="0.3">
      <c r="A119" s="11">
        <v>156526</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c r="CV119" s="32"/>
      <c r="CW119" s="32"/>
      <c r="CX119" s="32"/>
      <c r="CY119" s="32"/>
      <c r="CZ119" s="32"/>
      <c r="DA119" s="32"/>
      <c r="DB119" s="32"/>
      <c r="DC119" s="32"/>
      <c r="DD119" s="32"/>
      <c r="DE119" s="32"/>
      <c r="DF119" s="32"/>
      <c r="DG119" s="32"/>
      <c r="DH119" s="32"/>
      <c r="DI119" s="32"/>
      <c r="DJ119" s="33"/>
      <c r="DK119" s="32"/>
      <c r="DL119" s="32"/>
      <c r="DM119" s="32"/>
      <c r="DN119" s="32"/>
      <c r="DO119" s="32"/>
      <c r="DP119" s="32"/>
      <c r="DQ119" s="32"/>
      <c r="DR119" s="32"/>
      <c r="DS119" s="32"/>
      <c r="DT119" s="32"/>
      <c r="DU119" s="32"/>
      <c r="DV119" s="32"/>
      <c r="DW119" s="32"/>
      <c r="DX119" s="32"/>
      <c r="DY119" s="32"/>
      <c r="DZ119" s="32"/>
      <c r="EA119" s="32"/>
      <c r="EB119" s="32"/>
      <c r="EC119" s="32"/>
      <c r="ED119" s="32"/>
      <c r="EE119" s="32"/>
      <c r="EF119" s="32"/>
      <c r="EG119" s="32"/>
      <c r="EH119" s="32"/>
      <c r="EI119" s="32"/>
      <c r="EJ119" s="32"/>
      <c r="EK119" s="32"/>
      <c r="EL119" s="32"/>
      <c r="EM119" s="32"/>
      <c r="EN119" s="32"/>
      <c r="EO119" t="s">
        <v>245</v>
      </c>
      <c r="EP119" t="s">
        <v>1199</v>
      </c>
      <c r="EQ119" s="32"/>
      <c r="ER119" s="32"/>
    </row>
    <row r="120" spans="1:148" ht="29.25" customHeight="1" x14ac:dyDescent="0.3">
      <c r="A120" s="4">
        <v>156605</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2"/>
      <c r="CA120" s="32"/>
      <c r="CB120" s="32"/>
      <c r="CC120" s="32"/>
      <c r="CD120" s="32"/>
      <c r="CE120" s="32"/>
      <c r="CF120" s="32"/>
      <c r="CG120" s="32"/>
      <c r="CH120" s="32"/>
      <c r="CI120" s="32"/>
      <c r="CJ120" s="32"/>
      <c r="CK120" s="32"/>
      <c r="CL120" s="32"/>
      <c r="CM120" s="32"/>
      <c r="CN120" s="32"/>
      <c r="CO120" s="32"/>
      <c r="CP120" s="32"/>
      <c r="CQ120" s="32"/>
      <c r="CR120" s="32"/>
      <c r="CS120" s="32"/>
      <c r="CT120" s="32"/>
      <c r="CU120" s="32"/>
      <c r="CV120" s="32"/>
      <c r="CW120" s="32"/>
      <c r="CX120" s="32"/>
      <c r="CY120" s="32"/>
      <c r="CZ120" s="32"/>
      <c r="DA120" s="32"/>
      <c r="DB120" s="32"/>
      <c r="DC120" s="32"/>
      <c r="DD120" s="32"/>
      <c r="DE120" s="32"/>
      <c r="DF120" s="32"/>
      <c r="DG120" s="32"/>
      <c r="DH120" s="32"/>
      <c r="DI120" s="32"/>
      <c r="DJ120" s="33"/>
      <c r="DK120" s="32"/>
      <c r="DL120" s="32"/>
      <c r="DM120" s="32"/>
      <c r="DN120" s="32"/>
      <c r="DO120" s="32"/>
      <c r="DP120" s="32"/>
      <c r="DQ120" s="32"/>
      <c r="DR120" s="32"/>
      <c r="DS120" s="32"/>
      <c r="DT120" s="32"/>
      <c r="DU120" s="32"/>
      <c r="DV120" s="32"/>
      <c r="DW120" s="32"/>
      <c r="DX120" s="32"/>
      <c r="DY120" s="32"/>
      <c r="DZ120" s="32"/>
      <c r="EA120" s="32"/>
      <c r="EB120" s="32"/>
      <c r="EC120" s="32"/>
      <c r="ED120" s="32"/>
      <c r="EE120" s="32"/>
      <c r="EF120" s="32"/>
      <c r="EG120" s="32"/>
      <c r="EH120" s="32"/>
      <c r="EI120" s="32"/>
      <c r="EJ120" s="32"/>
      <c r="EK120" s="32"/>
      <c r="EL120" s="32"/>
      <c r="EM120" s="32"/>
      <c r="EN120" s="32"/>
      <c r="EO120" t="s">
        <v>246</v>
      </c>
      <c r="EP120" t="s">
        <v>708</v>
      </c>
      <c r="EQ120" s="32"/>
      <c r="ER120" s="32"/>
    </row>
    <row r="121" spans="1:148" ht="29.25" customHeight="1" x14ac:dyDescent="0.3">
      <c r="A121" s="4">
        <v>156821</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2"/>
      <c r="CA121" s="32"/>
      <c r="CB121" s="32"/>
      <c r="CC121" s="32"/>
      <c r="CD121" s="32"/>
      <c r="CE121" s="32"/>
      <c r="CF121" s="32"/>
      <c r="CG121" s="32"/>
      <c r="CH121" s="32"/>
      <c r="CI121" s="32"/>
      <c r="CJ121" s="32"/>
      <c r="CK121" s="32"/>
      <c r="CL121" s="32"/>
      <c r="CM121" s="32"/>
      <c r="CN121" s="32"/>
      <c r="CO121" s="32"/>
      <c r="CP121" s="32"/>
      <c r="CQ121" s="32"/>
      <c r="CR121" s="32"/>
      <c r="CS121" s="32"/>
      <c r="CT121" s="32"/>
      <c r="CU121" s="32"/>
      <c r="CV121" s="32"/>
      <c r="CW121" s="32"/>
      <c r="CX121" s="32"/>
      <c r="CY121" s="32"/>
      <c r="CZ121" s="32"/>
      <c r="DA121" s="32"/>
      <c r="DB121" s="32"/>
      <c r="DC121" s="32"/>
      <c r="DD121" s="32"/>
      <c r="DE121" s="32"/>
      <c r="DF121" s="32"/>
      <c r="DG121" s="32"/>
      <c r="DH121" s="32"/>
      <c r="DI121" s="32"/>
      <c r="DJ121" s="33"/>
      <c r="DK121" s="32"/>
      <c r="DL121" s="32"/>
      <c r="DM121" s="32"/>
      <c r="DN121" s="32"/>
      <c r="DO121" s="32"/>
      <c r="DP121" s="32"/>
      <c r="DQ121" s="32"/>
      <c r="DR121" s="32"/>
      <c r="DS121" s="32"/>
      <c r="DT121" s="32"/>
      <c r="DU121" s="32"/>
      <c r="DV121" s="32"/>
      <c r="DW121" s="32"/>
      <c r="DX121" s="32"/>
      <c r="DY121" s="32"/>
      <c r="DZ121" s="32"/>
      <c r="EA121" s="32"/>
      <c r="EB121" s="32"/>
      <c r="EC121" s="32"/>
      <c r="ED121" s="32"/>
      <c r="EE121" s="32"/>
      <c r="EF121" s="32"/>
      <c r="EG121" s="32"/>
      <c r="EH121" s="32"/>
      <c r="EI121" s="32"/>
      <c r="EJ121" s="32"/>
      <c r="EK121" s="32"/>
      <c r="EL121" s="32"/>
      <c r="EM121" s="32"/>
      <c r="EN121" s="32"/>
      <c r="EO121" t="s">
        <v>1143</v>
      </c>
      <c r="EP121" t="s">
        <v>1190</v>
      </c>
      <c r="EQ121" s="32"/>
      <c r="ER121" s="32"/>
    </row>
    <row r="122" spans="1:148" ht="29.25" customHeight="1" x14ac:dyDescent="0.3">
      <c r="A122" s="4">
        <v>156909</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2"/>
      <c r="CA122" s="32"/>
      <c r="CB122" s="32"/>
      <c r="CC122" s="32"/>
      <c r="CD122" s="32"/>
      <c r="CE122" s="32"/>
      <c r="CF122" s="32"/>
      <c r="CG122" s="32"/>
      <c r="CH122" s="32"/>
      <c r="CI122" s="32"/>
      <c r="CJ122" s="32"/>
      <c r="CK122" s="32"/>
      <c r="CL122" s="32"/>
      <c r="CM122" s="32"/>
      <c r="CN122" s="32"/>
      <c r="CO122" s="32"/>
      <c r="CP122" s="32"/>
      <c r="CQ122" s="32"/>
      <c r="CR122" s="32"/>
      <c r="CS122" s="32"/>
      <c r="CT122" s="32"/>
      <c r="CU122" s="32"/>
      <c r="CV122" s="32"/>
      <c r="CW122" s="32"/>
      <c r="CX122" s="32"/>
      <c r="CY122" s="32"/>
      <c r="CZ122" s="32"/>
      <c r="DA122" s="32"/>
      <c r="DB122" s="32"/>
      <c r="DC122" s="32"/>
      <c r="DD122" s="32"/>
      <c r="DE122" s="32"/>
      <c r="DF122" s="32"/>
      <c r="DG122" s="32"/>
      <c r="DH122" s="32"/>
      <c r="DI122" s="32"/>
      <c r="DJ122" s="33"/>
      <c r="DK122" s="32"/>
      <c r="DL122" s="32"/>
      <c r="DM122" s="32"/>
      <c r="DN122" s="32"/>
      <c r="DO122" s="32"/>
      <c r="DP122" s="32"/>
      <c r="DQ122" s="32"/>
      <c r="DR122" s="32"/>
      <c r="DS122" s="32"/>
      <c r="DT122" s="32"/>
      <c r="DU122" s="32"/>
      <c r="DV122" s="32"/>
      <c r="DW122" s="32"/>
      <c r="DX122" s="32"/>
      <c r="DY122" s="32"/>
      <c r="DZ122" s="32"/>
      <c r="EA122" s="32"/>
      <c r="EB122" s="32"/>
      <c r="EC122" s="32"/>
      <c r="ED122" s="32"/>
      <c r="EE122" s="32"/>
      <c r="EF122" s="32"/>
      <c r="EG122" s="32"/>
      <c r="EH122" s="32"/>
      <c r="EI122" s="32"/>
      <c r="EJ122" s="32"/>
      <c r="EK122" s="32"/>
      <c r="EL122" s="32"/>
      <c r="EM122" s="32"/>
      <c r="EN122" s="32"/>
      <c r="EO122" t="s">
        <v>247</v>
      </c>
      <c r="EP122" t="s">
        <v>715</v>
      </c>
      <c r="EQ122" s="32"/>
      <c r="ER122" s="32"/>
    </row>
    <row r="123" spans="1:148" ht="29.25" customHeight="1" x14ac:dyDescent="0.3">
      <c r="A123" s="4">
        <v>157140</v>
      </c>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2"/>
      <c r="CA123" s="32"/>
      <c r="CB123" s="32"/>
      <c r="CC123" s="32"/>
      <c r="CD123" s="32"/>
      <c r="CE123" s="32"/>
      <c r="CF123" s="32"/>
      <c r="CG123" s="32"/>
      <c r="CH123" s="32"/>
      <c r="CI123" s="32"/>
      <c r="CJ123" s="32"/>
      <c r="CK123" s="32"/>
      <c r="CL123" s="32"/>
      <c r="CM123" s="32"/>
      <c r="CN123" s="32"/>
      <c r="CO123" s="32"/>
      <c r="CP123" s="32"/>
      <c r="CQ123" s="32"/>
      <c r="CR123" s="32"/>
      <c r="CS123" s="32"/>
      <c r="CT123" s="32"/>
      <c r="CU123" s="32"/>
      <c r="CV123" s="32"/>
      <c r="CW123" s="32"/>
      <c r="CX123" s="32"/>
      <c r="CY123" s="32"/>
      <c r="CZ123" s="32"/>
      <c r="DA123" s="32"/>
      <c r="DB123" s="32"/>
      <c r="DC123" s="32"/>
      <c r="DD123" s="32"/>
      <c r="DE123" s="32"/>
      <c r="DF123" s="32"/>
      <c r="DG123" s="32"/>
      <c r="DH123" s="32"/>
      <c r="DI123" s="32"/>
      <c r="DJ123" s="33"/>
      <c r="DK123" s="32"/>
      <c r="DL123" s="32"/>
      <c r="DM123" s="32"/>
      <c r="DN123" s="32"/>
      <c r="DO123" s="32"/>
      <c r="DP123" s="32"/>
      <c r="DQ123" s="32"/>
      <c r="DR123" s="32"/>
      <c r="DS123" s="32"/>
      <c r="DT123" s="32"/>
      <c r="DU123" s="32"/>
      <c r="DV123" s="32"/>
      <c r="DW123" s="32"/>
      <c r="DX123" s="32"/>
      <c r="DY123" s="32"/>
      <c r="DZ123" s="32"/>
      <c r="EA123" s="32"/>
      <c r="EB123" s="32"/>
      <c r="EC123" s="32"/>
      <c r="ED123" s="32"/>
      <c r="EE123" s="32"/>
      <c r="EF123" s="32"/>
      <c r="EG123" s="32"/>
      <c r="EH123" s="32"/>
      <c r="EI123" s="32"/>
      <c r="EJ123" s="32"/>
      <c r="EK123" s="32"/>
      <c r="EL123" s="32"/>
      <c r="EM123" s="32"/>
      <c r="EN123" s="32"/>
      <c r="EO123" t="s">
        <v>248</v>
      </c>
      <c r="EP123" t="s">
        <v>1197</v>
      </c>
      <c r="EQ123" s="32"/>
      <c r="ER123" s="32"/>
    </row>
    <row r="124" spans="1:148" ht="29.25" customHeight="1" x14ac:dyDescent="0.3">
      <c r="A124" s="4">
        <v>157221</v>
      </c>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2"/>
      <c r="CA124" s="32"/>
      <c r="CB124" s="32"/>
      <c r="CC124" s="32"/>
      <c r="CD124" s="32"/>
      <c r="CE124" s="32"/>
      <c r="CF124" s="32"/>
      <c r="CG124" s="32"/>
      <c r="CH124" s="32"/>
      <c r="CI124" s="32"/>
      <c r="CJ124" s="32"/>
      <c r="CK124" s="32"/>
      <c r="CL124" s="32"/>
      <c r="CM124" s="32"/>
      <c r="CN124" s="32"/>
      <c r="CO124" s="32"/>
      <c r="CP124" s="32"/>
      <c r="CQ124" s="32"/>
      <c r="CR124" s="32"/>
      <c r="CS124" s="32"/>
      <c r="CT124" s="32"/>
      <c r="CU124" s="32"/>
      <c r="CV124" s="32"/>
      <c r="CW124" s="32"/>
      <c r="CX124" s="32"/>
      <c r="CY124" s="32"/>
      <c r="CZ124" s="32"/>
      <c r="DA124" s="32"/>
      <c r="DB124" s="32"/>
      <c r="DC124" s="32"/>
      <c r="DD124" s="32"/>
      <c r="DE124" s="32"/>
      <c r="DF124" s="32"/>
      <c r="DG124" s="32"/>
      <c r="DH124" s="32"/>
      <c r="DI124" s="32"/>
      <c r="DJ124" s="33"/>
      <c r="DK124" s="32"/>
      <c r="DL124" s="32"/>
      <c r="DM124" s="32"/>
      <c r="DN124" s="32"/>
      <c r="DO124" s="32"/>
      <c r="DP124" s="32"/>
      <c r="DQ124" s="32"/>
      <c r="DR124" s="32"/>
      <c r="DS124" s="32"/>
      <c r="DT124" s="32"/>
      <c r="DU124" s="32"/>
      <c r="DV124" s="32"/>
      <c r="DW124" s="32"/>
      <c r="DX124" s="32"/>
      <c r="DY124" s="32"/>
      <c r="DZ124" s="32"/>
      <c r="EA124" s="32"/>
      <c r="EB124" s="32"/>
      <c r="EC124" s="32"/>
      <c r="ED124" s="32"/>
      <c r="EE124" s="32"/>
      <c r="EF124" s="32"/>
      <c r="EG124" s="32"/>
      <c r="EH124" s="32"/>
      <c r="EI124" s="32"/>
      <c r="EJ124" s="32"/>
      <c r="EK124" s="32"/>
      <c r="EL124" s="32"/>
      <c r="EM124" s="32"/>
      <c r="EN124" s="32"/>
      <c r="EO124" t="s">
        <v>249</v>
      </c>
      <c r="EP124" t="s">
        <v>721</v>
      </c>
      <c r="EQ124" s="32"/>
      <c r="ER124" s="32"/>
    </row>
    <row r="125" spans="1:148" ht="29.25" customHeight="1" x14ac:dyDescent="0.3">
      <c r="A125" s="4">
        <v>157292</v>
      </c>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2"/>
      <c r="CA125" s="32"/>
      <c r="CB125" s="32"/>
      <c r="CC125" s="32"/>
      <c r="CD125" s="32"/>
      <c r="CE125" s="32"/>
      <c r="CF125" s="32"/>
      <c r="CG125" s="32"/>
      <c r="CH125" s="32"/>
      <c r="CI125" s="32"/>
      <c r="CJ125" s="32"/>
      <c r="CK125" s="32"/>
      <c r="CL125" s="32"/>
      <c r="CM125" s="32"/>
      <c r="CN125" s="32"/>
      <c r="CO125" s="32"/>
      <c r="CP125" s="32"/>
      <c r="CQ125" s="32"/>
      <c r="CR125" s="32"/>
      <c r="CS125" s="32"/>
      <c r="CT125" s="32"/>
      <c r="CU125" s="32"/>
      <c r="CV125" s="32"/>
      <c r="CW125" s="32"/>
      <c r="CX125" s="32"/>
      <c r="CY125" s="32"/>
      <c r="CZ125" s="32"/>
      <c r="DA125" s="32"/>
      <c r="DB125" s="32"/>
      <c r="DC125" s="32"/>
      <c r="DD125" s="32"/>
      <c r="DE125" s="32"/>
      <c r="DF125" s="32"/>
      <c r="DG125" s="32"/>
      <c r="DH125" s="32"/>
      <c r="DI125" s="32"/>
      <c r="DJ125" s="33"/>
      <c r="DK125" s="32"/>
      <c r="DL125" s="32"/>
      <c r="DM125" s="32"/>
      <c r="DN125" s="32"/>
      <c r="DO125" s="32"/>
      <c r="DP125" s="32"/>
      <c r="DQ125" s="32"/>
      <c r="DR125" s="32"/>
      <c r="DS125" s="32"/>
      <c r="DT125" s="32"/>
      <c r="DU125" s="32"/>
      <c r="DV125" s="32"/>
      <c r="DW125" s="32"/>
      <c r="DX125" s="32"/>
      <c r="DY125" s="32"/>
      <c r="DZ125" s="32"/>
      <c r="EA125" s="32"/>
      <c r="EB125" s="32"/>
      <c r="EC125" s="32"/>
      <c r="ED125" s="32"/>
      <c r="EE125" s="32"/>
      <c r="EF125" s="32"/>
      <c r="EG125" s="32"/>
      <c r="EH125" s="32"/>
      <c r="EI125" s="32"/>
      <c r="EJ125" s="32"/>
      <c r="EK125" s="32"/>
      <c r="EL125" s="32"/>
      <c r="EM125" s="32"/>
      <c r="EN125" s="32"/>
      <c r="EO125" t="s">
        <v>250</v>
      </c>
      <c r="EP125" t="s">
        <v>1200</v>
      </c>
      <c r="EQ125" s="32"/>
      <c r="ER125" s="32"/>
    </row>
    <row r="126" spans="1:148" ht="29.25" customHeight="1" x14ac:dyDescent="0.3">
      <c r="A126" s="4">
        <v>157384</v>
      </c>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2"/>
      <c r="CA126" s="32"/>
      <c r="CB126" s="32"/>
      <c r="CC126" s="32"/>
      <c r="CD126" s="32"/>
      <c r="CE126" s="32"/>
      <c r="CF126" s="32"/>
      <c r="CG126" s="32"/>
      <c r="CH126" s="32"/>
      <c r="CI126" s="32"/>
      <c r="CJ126" s="32"/>
      <c r="CK126" s="32"/>
      <c r="CL126" s="32"/>
      <c r="CM126" s="32"/>
      <c r="CN126" s="32"/>
      <c r="CO126" s="32"/>
      <c r="CP126" s="32"/>
      <c r="CQ126" s="32"/>
      <c r="CR126" s="32"/>
      <c r="CS126" s="32"/>
      <c r="CT126" s="32"/>
      <c r="CU126" s="32"/>
      <c r="CV126" s="32"/>
      <c r="CW126" s="32"/>
      <c r="CX126" s="32"/>
      <c r="CY126" s="32"/>
      <c r="CZ126" s="32"/>
      <c r="DA126" s="32"/>
      <c r="DB126" s="32"/>
      <c r="DC126" s="32"/>
      <c r="DD126" s="32"/>
      <c r="DE126" s="32"/>
      <c r="DF126" s="32"/>
      <c r="DG126" s="32"/>
      <c r="DH126" s="32"/>
      <c r="DI126" s="32"/>
      <c r="DJ126" s="33"/>
      <c r="DK126" s="32"/>
      <c r="DL126" s="32"/>
      <c r="DM126" s="32"/>
      <c r="DN126" s="32"/>
      <c r="DO126" s="32"/>
      <c r="DP126" s="32"/>
      <c r="DQ126" s="32"/>
      <c r="DR126" s="32"/>
      <c r="DS126" s="32"/>
      <c r="DT126" s="32"/>
      <c r="DU126" s="32"/>
      <c r="DV126" s="32"/>
      <c r="DW126" s="32"/>
      <c r="DX126" s="32"/>
      <c r="DY126" s="32"/>
      <c r="DZ126" s="32"/>
      <c r="EA126" s="32"/>
      <c r="EB126" s="32"/>
      <c r="EC126" s="32"/>
      <c r="ED126" s="32"/>
      <c r="EE126" s="32"/>
      <c r="EF126" s="32"/>
      <c r="EG126" s="32"/>
      <c r="EH126" s="32"/>
      <c r="EI126" s="32"/>
      <c r="EJ126" s="32"/>
      <c r="EK126" s="32"/>
      <c r="EL126" s="32"/>
      <c r="EM126" s="32"/>
      <c r="EN126" s="32"/>
      <c r="EO126" t="s">
        <v>251</v>
      </c>
      <c r="EP126" t="s">
        <v>725</v>
      </c>
      <c r="EQ126" s="32"/>
      <c r="ER126" s="32"/>
    </row>
    <row r="127" spans="1:148" ht="29.25" customHeight="1" x14ac:dyDescent="0.3">
      <c r="A127" s="4">
        <v>157393</v>
      </c>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2"/>
      <c r="CA127" s="32"/>
      <c r="CB127" s="32"/>
      <c r="CC127" s="32"/>
      <c r="CD127" s="32"/>
      <c r="CE127" s="32"/>
      <c r="CF127" s="32"/>
      <c r="CG127" s="32"/>
      <c r="CH127" s="32"/>
      <c r="CI127" s="32"/>
      <c r="CJ127" s="32"/>
      <c r="CK127" s="32"/>
      <c r="CL127" s="32"/>
      <c r="CM127" s="32"/>
      <c r="CN127" s="32"/>
      <c r="CO127" s="32"/>
      <c r="CP127" s="32"/>
      <c r="CQ127" s="32"/>
      <c r="CR127" s="32"/>
      <c r="CS127" s="32"/>
      <c r="CT127" s="32"/>
      <c r="CU127" s="32"/>
      <c r="CV127" s="32"/>
      <c r="CW127" s="32"/>
      <c r="CX127" s="32"/>
      <c r="CY127" s="32"/>
      <c r="CZ127" s="32"/>
      <c r="DA127" s="32"/>
      <c r="DB127" s="32"/>
      <c r="DC127" s="32"/>
      <c r="DD127" s="32"/>
      <c r="DE127" s="32"/>
      <c r="DF127" s="32"/>
      <c r="DG127" s="32"/>
      <c r="DH127" s="32"/>
      <c r="DI127" s="32"/>
      <c r="DJ127" s="33"/>
      <c r="DK127" s="32"/>
      <c r="DL127" s="32"/>
      <c r="DM127" s="32"/>
      <c r="DN127" s="32"/>
      <c r="DO127" s="32"/>
      <c r="DP127" s="32"/>
      <c r="DQ127" s="32"/>
      <c r="DR127" s="32"/>
      <c r="DS127" s="32"/>
      <c r="DT127" s="32"/>
      <c r="DU127" s="32"/>
      <c r="DV127" s="32"/>
      <c r="DW127" s="32"/>
      <c r="DX127" s="32"/>
      <c r="DY127" s="32"/>
      <c r="DZ127" s="32"/>
      <c r="EA127" s="32"/>
      <c r="EB127" s="32"/>
      <c r="EC127" s="32"/>
      <c r="ED127" s="32"/>
      <c r="EE127" s="32"/>
      <c r="EF127" s="32"/>
      <c r="EG127" s="32"/>
      <c r="EH127" s="32"/>
      <c r="EI127" s="32"/>
      <c r="EJ127" s="32"/>
      <c r="EK127" s="32"/>
      <c r="EL127" s="32"/>
      <c r="EM127" s="32"/>
      <c r="EN127" s="32"/>
      <c r="EO127" t="s">
        <v>252</v>
      </c>
      <c r="EP127" t="s">
        <v>728</v>
      </c>
      <c r="EQ127" s="32"/>
      <c r="ER127" s="32"/>
    </row>
    <row r="128" spans="1:148" ht="29.25" customHeight="1" x14ac:dyDescent="0.3">
      <c r="A128" s="4">
        <v>157412</v>
      </c>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2"/>
      <c r="CA128" s="32"/>
      <c r="CB128" s="32"/>
      <c r="CC128" s="32"/>
      <c r="CD128" s="32"/>
      <c r="CE128" s="32"/>
      <c r="CF128" s="32"/>
      <c r="CG128" s="32"/>
      <c r="CH128" s="32"/>
      <c r="CI128" s="32"/>
      <c r="CJ128" s="32"/>
      <c r="CK128" s="32"/>
      <c r="CL128" s="32"/>
      <c r="CM128" s="32"/>
      <c r="CN128" s="32"/>
      <c r="CO128" s="32"/>
      <c r="CP128" s="32"/>
      <c r="CQ128" s="32"/>
      <c r="CR128" s="32"/>
      <c r="CS128" s="32"/>
      <c r="CT128" s="32"/>
      <c r="CU128" s="32"/>
      <c r="CV128" s="32"/>
      <c r="CW128" s="32"/>
      <c r="CX128" s="32"/>
      <c r="CY128" s="32"/>
      <c r="CZ128" s="32"/>
      <c r="DA128" s="32"/>
      <c r="DB128" s="32"/>
      <c r="DC128" s="32"/>
      <c r="DD128" s="32"/>
      <c r="DE128" s="32"/>
      <c r="DF128" s="32"/>
      <c r="DG128" s="32"/>
      <c r="DH128" s="32"/>
      <c r="DI128" s="32"/>
      <c r="DJ128" s="33"/>
      <c r="DK128" s="32"/>
      <c r="DL128" s="32"/>
      <c r="DM128" s="32"/>
      <c r="DN128" s="32"/>
      <c r="DO128" s="32"/>
      <c r="DP128" s="32"/>
      <c r="DQ128" s="32"/>
      <c r="DR128" s="32"/>
      <c r="DS128" s="32"/>
      <c r="DT128" s="32"/>
      <c r="DU128" s="32"/>
      <c r="DV128" s="32"/>
      <c r="DW128" s="32"/>
      <c r="DX128" s="32"/>
      <c r="DY128" s="32"/>
      <c r="DZ128" s="32"/>
      <c r="EA128" s="32"/>
      <c r="EB128" s="32"/>
      <c r="EC128" s="32"/>
      <c r="ED128" s="32"/>
      <c r="EE128" s="32"/>
      <c r="EF128" s="32"/>
      <c r="EG128" s="32"/>
      <c r="EH128" s="32"/>
      <c r="EI128" s="32"/>
      <c r="EJ128" s="32"/>
      <c r="EK128" s="32"/>
      <c r="EL128" s="32"/>
      <c r="EM128" s="32"/>
      <c r="EN128" s="32"/>
      <c r="EO128" t="s">
        <v>853</v>
      </c>
      <c r="EP128" t="s">
        <v>936</v>
      </c>
      <c r="EQ128" s="32"/>
      <c r="ER128" s="32"/>
    </row>
    <row r="129" spans="1:148" ht="29.25" customHeight="1" x14ac:dyDescent="0.3">
      <c r="A129" s="12">
        <v>157626</v>
      </c>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2"/>
      <c r="CA129" s="32"/>
      <c r="CB129" s="32"/>
      <c r="CC129" s="32"/>
      <c r="CD129" s="32"/>
      <c r="CE129" s="32"/>
      <c r="CF129" s="32"/>
      <c r="CG129" s="32"/>
      <c r="CH129" s="32"/>
      <c r="CI129" s="32"/>
      <c r="CJ129" s="32"/>
      <c r="CK129" s="32"/>
      <c r="CL129" s="32"/>
      <c r="CM129" s="32"/>
      <c r="CN129" s="32"/>
      <c r="CO129" s="32"/>
      <c r="CP129" s="32"/>
      <c r="CQ129" s="32"/>
      <c r="CR129" s="32"/>
      <c r="CS129" s="32"/>
      <c r="CT129" s="32"/>
      <c r="CU129" s="32"/>
      <c r="CV129" s="32"/>
      <c r="CW129" s="32"/>
      <c r="CX129" s="32"/>
      <c r="CY129" s="32"/>
      <c r="CZ129" s="32"/>
      <c r="DA129" s="32"/>
      <c r="DB129" s="32"/>
      <c r="DC129" s="32"/>
      <c r="DD129" s="32"/>
      <c r="DE129" s="32"/>
      <c r="DF129" s="32"/>
      <c r="DG129" s="32"/>
      <c r="DH129" s="32"/>
      <c r="DI129" s="32"/>
      <c r="DJ129" s="33"/>
      <c r="DK129" s="32"/>
      <c r="DL129" s="32"/>
      <c r="DM129" s="32"/>
      <c r="DN129" s="32"/>
      <c r="DO129" s="32"/>
      <c r="DP129" s="32"/>
      <c r="DQ129" s="32"/>
      <c r="DR129" s="32"/>
      <c r="DS129" s="32"/>
      <c r="DT129" s="32"/>
      <c r="DU129" s="32"/>
      <c r="DV129" s="32"/>
      <c r="DW129" s="32"/>
      <c r="DX129" s="32"/>
      <c r="DY129" s="32"/>
      <c r="DZ129" s="32"/>
      <c r="EA129" s="32"/>
      <c r="EB129" s="32"/>
      <c r="EC129" s="32"/>
      <c r="ED129" s="32"/>
      <c r="EE129" s="32"/>
      <c r="EF129" s="32"/>
      <c r="EG129" s="32"/>
      <c r="EH129" s="32"/>
      <c r="EI129" s="32"/>
      <c r="EJ129" s="32"/>
      <c r="EK129" s="32"/>
      <c r="EL129" s="32"/>
      <c r="EM129" s="32"/>
      <c r="EN129" s="32"/>
      <c r="EO129" t="s">
        <v>1202</v>
      </c>
      <c r="EP129" t="s">
        <v>733</v>
      </c>
      <c r="EQ129" s="32"/>
      <c r="ER129" s="32"/>
    </row>
    <row r="130" spans="1:148" ht="29.25" customHeight="1" x14ac:dyDescent="0.3">
      <c r="A130" s="4">
        <v>157667</v>
      </c>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2"/>
      <c r="CA130" s="32"/>
      <c r="CB130" s="32"/>
      <c r="CC130" s="32"/>
      <c r="CD130" s="32"/>
      <c r="CE130" s="32"/>
      <c r="CF130" s="32"/>
      <c r="CG130" s="32"/>
      <c r="CH130" s="32"/>
      <c r="CI130" s="32"/>
      <c r="CJ130" s="32"/>
      <c r="CK130" s="32"/>
      <c r="CL130" s="32"/>
      <c r="CM130" s="32"/>
      <c r="CN130" s="32"/>
      <c r="CO130" s="32"/>
      <c r="CP130" s="32"/>
      <c r="CQ130" s="32"/>
      <c r="CR130" s="32"/>
      <c r="CS130" s="32"/>
      <c r="CT130" s="32"/>
      <c r="CU130" s="32"/>
      <c r="CV130" s="32"/>
      <c r="CW130" s="32"/>
      <c r="CX130" s="32"/>
      <c r="CY130" s="32"/>
      <c r="CZ130" s="32"/>
      <c r="DA130" s="32"/>
      <c r="DB130" s="32"/>
      <c r="DC130" s="32"/>
      <c r="DD130" s="32"/>
      <c r="DE130" s="32"/>
      <c r="DF130" s="32"/>
      <c r="DG130" s="32"/>
      <c r="DH130" s="32"/>
      <c r="DI130" s="32"/>
      <c r="DJ130" s="33"/>
      <c r="DK130" s="32"/>
      <c r="DL130" s="32"/>
      <c r="DM130" s="32"/>
      <c r="DN130" s="32"/>
      <c r="DO130" s="32"/>
      <c r="DP130" s="32"/>
      <c r="DQ130" s="32"/>
      <c r="DR130" s="32"/>
      <c r="DS130" s="32"/>
      <c r="DT130" s="32"/>
      <c r="DU130" s="32"/>
      <c r="DV130" s="32"/>
      <c r="DW130" s="32"/>
      <c r="DX130" s="32"/>
      <c r="DY130" s="32"/>
      <c r="DZ130" s="32"/>
      <c r="EA130" s="32"/>
      <c r="EB130" s="32"/>
      <c r="EC130" s="32"/>
      <c r="ED130" s="32"/>
      <c r="EE130" s="32"/>
      <c r="EF130" s="32"/>
      <c r="EG130" s="32"/>
      <c r="EH130" s="32"/>
      <c r="EI130" s="32"/>
      <c r="EJ130" s="32"/>
      <c r="EK130" s="32"/>
      <c r="EL130" s="32"/>
      <c r="EM130" s="32"/>
      <c r="EN130" s="32"/>
      <c r="EO130" t="s">
        <v>254</v>
      </c>
      <c r="EP130" t="s">
        <v>736</v>
      </c>
      <c r="EQ130" s="32"/>
      <c r="ER130" s="32"/>
    </row>
    <row r="131" spans="1:148" ht="29.25" customHeight="1" x14ac:dyDescent="0.3">
      <c r="A131" s="4">
        <v>157733</v>
      </c>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c r="CV131" s="32"/>
      <c r="CW131" s="32"/>
      <c r="CX131" s="32"/>
      <c r="CY131" s="32"/>
      <c r="CZ131" s="32"/>
      <c r="DA131" s="32"/>
      <c r="DB131" s="32"/>
      <c r="DC131" s="32"/>
      <c r="DD131" s="32"/>
      <c r="DE131" s="32"/>
      <c r="DF131" s="32"/>
      <c r="DG131" s="32"/>
      <c r="DH131" s="32"/>
      <c r="DI131" s="32"/>
      <c r="DJ131" s="33"/>
      <c r="DK131" s="32"/>
      <c r="DL131" s="32"/>
      <c r="DM131" s="32"/>
      <c r="DN131" s="32"/>
      <c r="DO131" s="32"/>
      <c r="DP131" s="32"/>
      <c r="DQ131" s="32"/>
      <c r="DR131" s="32"/>
      <c r="DS131" s="32"/>
      <c r="DT131" s="32"/>
      <c r="DU131" s="32"/>
      <c r="DV131" s="32"/>
      <c r="DW131" s="32"/>
      <c r="DX131" s="32"/>
      <c r="DY131" s="32"/>
      <c r="DZ131" s="32"/>
      <c r="EA131" s="32"/>
      <c r="EB131" s="32"/>
      <c r="EC131" s="32"/>
      <c r="ED131" s="32"/>
      <c r="EE131" s="32"/>
      <c r="EF131" s="32"/>
      <c r="EG131" s="32"/>
      <c r="EH131" s="32"/>
      <c r="EI131" s="32"/>
      <c r="EJ131" s="32"/>
      <c r="EK131" s="32"/>
      <c r="EL131" s="32"/>
      <c r="EM131" s="32"/>
      <c r="EN131" s="32"/>
      <c r="EO131" t="s">
        <v>1203</v>
      </c>
      <c r="EP131" t="s">
        <v>737</v>
      </c>
      <c r="EQ131" s="32"/>
      <c r="ER131" s="32"/>
    </row>
    <row r="132" spans="1:148" ht="29.25" customHeight="1" x14ac:dyDescent="0.3">
      <c r="A132" s="4">
        <v>157792</v>
      </c>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2"/>
      <c r="CA132" s="32"/>
      <c r="CB132" s="32"/>
      <c r="CC132" s="32"/>
      <c r="CD132" s="32"/>
      <c r="CE132" s="32"/>
      <c r="CF132" s="32"/>
      <c r="CG132" s="32"/>
      <c r="CH132" s="32"/>
      <c r="CI132" s="32"/>
      <c r="CJ132" s="32"/>
      <c r="CK132" s="32"/>
      <c r="CL132" s="32"/>
      <c r="CM132" s="32"/>
      <c r="CN132" s="32"/>
      <c r="CO132" s="32"/>
      <c r="CP132" s="32"/>
      <c r="CQ132" s="32"/>
      <c r="CR132" s="32"/>
      <c r="CS132" s="32"/>
      <c r="CT132" s="32"/>
      <c r="CU132" s="32"/>
      <c r="CV132" s="32"/>
      <c r="CW132" s="32"/>
      <c r="CX132" s="32"/>
      <c r="CY132" s="32"/>
      <c r="CZ132" s="32"/>
      <c r="DA132" s="32"/>
      <c r="DB132" s="32"/>
      <c r="DC132" s="32"/>
      <c r="DD132" s="32"/>
      <c r="DE132" s="32"/>
      <c r="DF132" s="32"/>
      <c r="DG132" s="32"/>
      <c r="DH132" s="32"/>
      <c r="DI132" s="32"/>
      <c r="DJ132" s="33"/>
      <c r="DK132" s="32"/>
      <c r="DL132" s="32"/>
      <c r="DM132" s="32"/>
      <c r="DN132" s="32"/>
      <c r="DO132" s="32"/>
      <c r="DP132" s="32"/>
      <c r="DQ132" s="32"/>
      <c r="DR132" s="32"/>
      <c r="DS132" s="32"/>
      <c r="DT132" s="32"/>
      <c r="DU132" s="32"/>
      <c r="DV132" s="32"/>
      <c r="DW132" s="32"/>
      <c r="DX132" s="32"/>
      <c r="DY132" s="32"/>
      <c r="DZ132" s="32"/>
      <c r="EA132" s="32"/>
      <c r="EB132" s="32"/>
      <c r="EC132" s="32"/>
      <c r="ED132" s="32"/>
      <c r="EE132" s="32"/>
      <c r="EF132" s="32"/>
      <c r="EG132" s="32"/>
      <c r="EH132" s="32"/>
      <c r="EI132" s="32"/>
      <c r="EJ132" s="32"/>
      <c r="EK132" s="32"/>
      <c r="EL132" s="32"/>
      <c r="EM132" s="32"/>
      <c r="EN132" s="32"/>
      <c r="EO132" t="s">
        <v>1158</v>
      </c>
      <c r="EP132" t="s">
        <v>739</v>
      </c>
      <c r="EQ132" s="32"/>
      <c r="ER132" s="32"/>
    </row>
    <row r="133" spans="1:148" ht="29.25" customHeight="1" x14ac:dyDescent="0.3">
      <c r="A133" s="4">
        <v>157911</v>
      </c>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2"/>
      <c r="CA133" s="32"/>
      <c r="CB133" s="32"/>
      <c r="CC133" s="32"/>
      <c r="CD133" s="32"/>
      <c r="CE133" s="32"/>
      <c r="CF133" s="32"/>
      <c r="CG133" s="32"/>
      <c r="CH133" s="32"/>
      <c r="CI133" s="32"/>
      <c r="CJ133" s="32"/>
      <c r="CK133" s="32"/>
      <c r="CL133" s="32"/>
      <c r="CM133" s="32"/>
      <c r="CN133" s="32"/>
      <c r="CO133" s="32"/>
      <c r="CP133" s="32"/>
      <c r="CQ133" s="32"/>
      <c r="CR133" s="32"/>
      <c r="CS133" s="32"/>
      <c r="CT133" s="32"/>
      <c r="CU133" s="32"/>
      <c r="CV133" s="32"/>
      <c r="CW133" s="32"/>
      <c r="CX133" s="32"/>
      <c r="CY133" s="32"/>
      <c r="CZ133" s="32"/>
      <c r="DA133" s="32"/>
      <c r="DB133" s="32"/>
      <c r="DC133" s="32"/>
      <c r="DD133" s="32"/>
      <c r="DE133" s="32"/>
      <c r="DF133" s="32"/>
      <c r="DG133" s="32"/>
      <c r="DH133" s="32"/>
      <c r="DI133" s="32"/>
      <c r="DJ133" s="33"/>
      <c r="DK133" s="32"/>
      <c r="DL133" s="32"/>
      <c r="DM133" s="32"/>
      <c r="DN133" s="32"/>
      <c r="DO133" s="32"/>
      <c r="DP133" s="32"/>
      <c r="DQ133" s="32"/>
      <c r="DR133" s="32"/>
      <c r="DS133" s="32"/>
      <c r="DT133" s="32"/>
      <c r="DU133" s="32"/>
      <c r="DV133" s="32"/>
      <c r="DW133" s="32"/>
      <c r="DX133" s="32"/>
      <c r="DY133" s="32"/>
      <c r="DZ133" s="32"/>
      <c r="EA133" s="32"/>
      <c r="EB133" s="32"/>
      <c r="EC133" s="32"/>
      <c r="ED133" s="32"/>
      <c r="EE133" s="32"/>
      <c r="EF133" s="32"/>
      <c r="EG133" s="32"/>
      <c r="EH133" s="32"/>
      <c r="EI133" s="32"/>
      <c r="EJ133" s="32"/>
      <c r="EK133" s="32"/>
      <c r="EL133" s="32"/>
      <c r="EM133" s="32"/>
      <c r="EN133" s="32"/>
      <c r="EO133" t="s">
        <v>256</v>
      </c>
      <c r="EP133" t="s">
        <v>740</v>
      </c>
      <c r="EQ133" s="32"/>
      <c r="ER133" s="32"/>
    </row>
    <row r="134" spans="1:148" ht="29.25" customHeight="1" x14ac:dyDescent="0.3">
      <c r="A134" s="4">
        <v>158160</v>
      </c>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2"/>
      <c r="DJ134" s="33"/>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G134" s="32"/>
      <c r="EH134" s="32"/>
      <c r="EI134" s="32"/>
      <c r="EJ134" s="32"/>
      <c r="EK134" s="32"/>
      <c r="EL134" s="32"/>
      <c r="EM134" s="32"/>
      <c r="EN134" s="32"/>
      <c r="EO134" t="s">
        <v>257</v>
      </c>
      <c r="EP134" t="s">
        <v>743</v>
      </c>
      <c r="EQ134" s="32"/>
      <c r="ER134" s="32"/>
    </row>
    <row r="135" spans="1:148" ht="29.25" customHeight="1" x14ac:dyDescent="0.3">
      <c r="A135" s="4">
        <v>158217</v>
      </c>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2"/>
      <c r="CA135" s="32"/>
      <c r="CB135" s="32"/>
      <c r="CC135" s="32"/>
      <c r="CD135" s="32"/>
      <c r="CE135" s="32"/>
      <c r="CF135" s="32"/>
      <c r="CG135" s="32"/>
      <c r="CH135" s="32"/>
      <c r="CI135" s="32"/>
      <c r="CJ135" s="32"/>
      <c r="CK135" s="32"/>
      <c r="CL135" s="32"/>
      <c r="CM135" s="32"/>
      <c r="CN135" s="32"/>
      <c r="CO135" s="32"/>
      <c r="CP135" s="32"/>
      <c r="CQ135" s="32"/>
      <c r="CR135" s="32"/>
      <c r="CS135" s="32"/>
      <c r="CT135" s="32"/>
      <c r="CU135" s="32"/>
      <c r="CV135" s="32"/>
      <c r="CW135" s="32"/>
      <c r="CX135" s="32"/>
      <c r="CY135" s="32"/>
      <c r="CZ135" s="32"/>
      <c r="DA135" s="32"/>
      <c r="DB135" s="32"/>
      <c r="DC135" s="32"/>
      <c r="DD135" s="32"/>
      <c r="DE135" s="32"/>
      <c r="DF135" s="32"/>
      <c r="DG135" s="32"/>
      <c r="DH135" s="32"/>
      <c r="DI135" s="32"/>
      <c r="DJ135" s="33"/>
      <c r="DK135" s="32"/>
      <c r="DL135" s="32"/>
      <c r="DM135" s="32"/>
      <c r="DN135" s="32"/>
      <c r="DO135" s="32"/>
      <c r="DP135" s="32"/>
      <c r="DQ135" s="32"/>
      <c r="DR135" s="32"/>
      <c r="DS135" s="32"/>
      <c r="DT135" s="32"/>
      <c r="DU135" s="32"/>
      <c r="DV135" s="32"/>
      <c r="DW135" s="32"/>
      <c r="DX135" s="32"/>
      <c r="DY135" s="32"/>
      <c r="DZ135" s="32"/>
      <c r="EA135" s="32"/>
      <c r="EB135" s="32"/>
      <c r="EC135" s="32"/>
      <c r="ED135" s="32"/>
      <c r="EE135" s="32"/>
      <c r="EF135" s="32"/>
      <c r="EG135" s="32"/>
      <c r="EH135" s="32"/>
      <c r="EI135" s="32"/>
      <c r="EJ135" s="32"/>
      <c r="EK135" s="32"/>
      <c r="EL135" s="32"/>
      <c r="EM135" s="32"/>
      <c r="EN135" s="32"/>
      <c r="EO135" t="s">
        <v>258</v>
      </c>
      <c r="EP135" t="s">
        <v>744</v>
      </c>
      <c r="EQ135" s="32"/>
      <c r="ER135" s="32"/>
    </row>
    <row r="136" spans="1:148" ht="29.25" customHeight="1" x14ac:dyDescent="0.3">
      <c r="A136" s="4">
        <v>158499</v>
      </c>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2"/>
      <c r="CA136" s="32"/>
      <c r="CB136" s="32"/>
      <c r="CC136" s="32"/>
      <c r="CD136" s="32"/>
      <c r="CE136" s="32"/>
      <c r="CF136" s="32"/>
      <c r="CG136" s="32"/>
      <c r="CH136" s="32"/>
      <c r="CI136" s="32"/>
      <c r="CJ136" s="32"/>
      <c r="CK136" s="32"/>
      <c r="CL136" s="32"/>
      <c r="CM136" s="32"/>
      <c r="CN136" s="32"/>
      <c r="CO136" s="32"/>
      <c r="CP136" s="32"/>
      <c r="CQ136" s="32"/>
      <c r="CR136" s="32"/>
      <c r="CS136" s="32"/>
      <c r="CT136" s="32"/>
      <c r="CU136" s="32"/>
      <c r="CV136" s="32"/>
      <c r="CW136" s="32"/>
      <c r="CX136" s="32"/>
      <c r="CY136" s="32"/>
      <c r="CZ136" s="32"/>
      <c r="DA136" s="32"/>
      <c r="DB136" s="32"/>
      <c r="DC136" s="32"/>
      <c r="DD136" s="32"/>
      <c r="DE136" s="32"/>
      <c r="DF136" s="32"/>
      <c r="DG136" s="32"/>
      <c r="DH136" s="32"/>
      <c r="DI136" s="32"/>
      <c r="DJ136" s="33"/>
      <c r="DK136" s="32"/>
      <c r="DL136" s="32"/>
      <c r="DM136" s="32"/>
      <c r="DN136" s="32"/>
      <c r="DO136" s="32"/>
      <c r="DP136" s="32"/>
      <c r="DQ136" s="32"/>
      <c r="DR136" s="32"/>
      <c r="DS136" s="32"/>
      <c r="DT136" s="32"/>
      <c r="DU136" s="32"/>
      <c r="DV136" s="32"/>
      <c r="DW136" s="32"/>
      <c r="DX136" s="32"/>
      <c r="DY136" s="32"/>
      <c r="DZ136" s="32"/>
      <c r="EA136" s="32"/>
      <c r="EB136" s="32"/>
      <c r="EC136" s="32"/>
      <c r="ED136" s="32"/>
      <c r="EE136" s="32"/>
      <c r="EF136" s="32"/>
      <c r="EG136" s="32"/>
      <c r="EH136" s="32"/>
      <c r="EI136" s="32"/>
      <c r="EJ136" s="32"/>
      <c r="EK136" s="32"/>
      <c r="EL136" s="32"/>
      <c r="EM136" s="32"/>
      <c r="EN136" s="32"/>
      <c r="EO136" t="s">
        <v>259</v>
      </c>
      <c r="EP136" t="s">
        <v>745</v>
      </c>
      <c r="EQ136" s="32"/>
      <c r="ER136" s="32"/>
    </row>
    <row r="137" spans="1:148" ht="29.25" customHeight="1" x14ac:dyDescent="0.3">
      <c r="A137" s="4">
        <v>158910</v>
      </c>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2"/>
      <c r="CA137" s="32"/>
      <c r="CB137" s="32"/>
      <c r="CC137" s="32"/>
      <c r="CD137" s="32"/>
      <c r="CE137" s="32"/>
      <c r="CF137" s="32"/>
      <c r="CG137" s="32"/>
      <c r="CH137" s="32"/>
      <c r="CI137" s="32"/>
      <c r="CJ137" s="32"/>
      <c r="CK137" s="32"/>
      <c r="CL137" s="32"/>
      <c r="CM137" s="32"/>
      <c r="CN137" s="32"/>
      <c r="CO137" s="32"/>
      <c r="CP137" s="32"/>
      <c r="CQ137" s="32"/>
      <c r="CR137" s="32"/>
      <c r="CS137" s="32"/>
      <c r="CT137" s="32"/>
      <c r="CU137" s="32"/>
      <c r="CV137" s="32"/>
      <c r="CW137" s="32"/>
      <c r="CX137" s="32"/>
      <c r="CY137" s="32"/>
      <c r="CZ137" s="32"/>
      <c r="DA137" s="32"/>
      <c r="DB137" s="32"/>
      <c r="DC137" s="32"/>
      <c r="DD137" s="32"/>
      <c r="DE137" s="32"/>
      <c r="DF137" s="32"/>
      <c r="DG137" s="32"/>
      <c r="DH137" s="32"/>
      <c r="DI137" s="32"/>
      <c r="DJ137" s="33"/>
      <c r="DK137" s="32"/>
      <c r="DL137" s="32"/>
      <c r="DM137" s="32"/>
      <c r="DN137" s="32"/>
      <c r="DO137" s="32"/>
      <c r="DP137" s="32"/>
      <c r="DQ137" s="32"/>
      <c r="DR137" s="32"/>
      <c r="DS137" s="32"/>
      <c r="DT137" s="32"/>
      <c r="DU137" s="32"/>
      <c r="DV137" s="32"/>
      <c r="DW137" s="32"/>
      <c r="DX137" s="32"/>
      <c r="DY137" s="32"/>
      <c r="DZ137" s="32"/>
      <c r="EA137" s="32"/>
      <c r="EB137" s="32"/>
      <c r="EC137" s="32"/>
      <c r="ED137" s="32"/>
      <c r="EE137" s="32"/>
      <c r="EF137" s="32"/>
      <c r="EG137" s="32"/>
      <c r="EH137" s="32"/>
      <c r="EI137" s="32"/>
      <c r="EJ137" s="32"/>
      <c r="EK137" s="32"/>
      <c r="EL137" s="32"/>
      <c r="EM137" s="32"/>
      <c r="EN137" s="32"/>
      <c r="EO137" t="s">
        <v>260</v>
      </c>
      <c r="EP137" t="s">
        <v>746</v>
      </c>
      <c r="EQ137" s="32"/>
      <c r="ER137" s="32"/>
    </row>
    <row r="138" spans="1:148" ht="29.25" customHeight="1" x14ac:dyDescent="0.3">
      <c r="A138" s="4">
        <v>159049</v>
      </c>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2"/>
      <c r="CA138" s="32"/>
      <c r="CB138" s="32"/>
      <c r="CC138" s="32"/>
      <c r="CD138" s="32"/>
      <c r="CE138" s="32"/>
      <c r="CF138" s="32"/>
      <c r="CG138" s="32"/>
      <c r="CH138" s="32"/>
      <c r="CI138" s="32"/>
      <c r="CJ138" s="32"/>
      <c r="CK138" s="32"/>
      <c r="CL138" s="32"/>
      <c r="CM138" s="32"/>
      <c r="CN138" s="32"/>
      <c r="CO138" s="32"/>
      <c r="CP138" s="32"/>
      <c r="CQ138" s="32"/>
      <c r="CR138" s="32"/>
      <c r="CS138" s="32"/>
      <c r="CT138" s="32"/>
      <c r="CU138" s="32"/>
      <c r="CV138" s="32"/>
      <c r="CW138" s="32"/>
      <c r="CX138" s="32"/>
      <c r="CY138" s="32"/>
      <c r="CZ138" s="32"/>
      <c r="DA138" s="32"/>
      <c r="DB138" s="32"/>
      <c r="DC138" s="32"/>
      <c r="DD138" s="32"/>
      <c r="DE138" s="32"/>
      <c r="DF138" s="32"/>
      <c r="DG138" s="32"/>
      <c r="DH138" s="32"/>
      <c r="DI138" s="32"/>
      <c r="DJ138" s="33"/>
      <c r="DK138" s="32"/>
      <c r="DL138" s="32"/>
      <c r="DM138" s="32"/>
      <c r="DN138" s="32"/>
      <c r="DO138" s="32"/>
      <c r="DP138" s="32"/>
      <c r="DQ138" s="32"/>
      <c r="DR138" s="32"/>
      <c r="DS138" s="32"/>
      <c r="DT138" s="32"/>
      <c r="DU138" s="32"/>
      <c r="DV138" s="32"/>
      <c r="DW138" s="32"/>
      <c r="DX138" s="32"/>
      <c r="DY138" s="32"/>
      <c r="DZ138" s="32"/>
      <c r="EA138" s="32"/>
      <c r="EB138" s="32"/>
      <c r="EC138" s="32"/>
      <c r="ED138" s="32"/>
      <c r="EE138" s="32"/>
      <c r="EF138" s="32"/>
      <c r="EG138" s="32"/>
      <c r="EH138" s="32"/>
      <c r="EI138" s="32"/>
      <c r="EJ138" s="32"/>
      <c r="EK138" s="32"/>
      <c r="EL138" s="32"/>
      <c r="EM138" s="32"/>
      <c r="EN138" s="32"/>
      <c r="EO138" t="s">
        <v>261</v>
      </c>
      <c r="EP138" t="s">
        <v>749</v>
      </c>
      <c r="EQ138" s="32"/>
      <c r="ER138" s="32"/>
    </row>
    <row r="139" spans="1:148" ht="29.25" customHeight="1" x14ac:dyDescent="0.3">
      <c r="A139" s="4">
        <v>159264</v>
      </c>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2"/>
      <c r="CA139" s="32"/>
      <c r="CB139" s="32"/>
      <c r="CC139" s="32"/>
      <c r="CD139" s="32"/>
      <c r="CE139" s="32"/>
      <c r="CF139" s="32"/>
      <c r="CG139" s="32"/>
      <c r="CH139" s="32"/>
      <c r="CI139" s="32"/>
      <c r="CJ139" s="32"/>
      <c r="CK139" s="32"/>
      <c r="CL139" s="32"/>
      <c r="CM139" s="32"/>
      <c r="CN139" s="32"/>
      <c r="CO139" s="32"/>
      <c r="CP139" s="32"/>
      <c r="CQ139" s="32"/>
      <c r="CR139" s="32"/>
      <c r="CS139" s="32"/>
      <c r="CT139" s="32"/>
      <c r="CU139" s="32"/>
      <c r="CV139" s="32"/>
      <c r="CW139" s="32"/>
      <c r="CX139" s="32"/>
      <c r="CY139" s="32"/>
      <c r="CZ139" s="32"/>
      <c r="DA139" s="32"/>
      <c r="DB139" s="32"/>
      <c r="DC139" s="32"/>
      <c r="DD139" s="32"/>
      <c r="DE139" s="32"/>
      <c r="DF139" s="32"/>
      <c r="DG139" s="32"/>
      <c r="DH139" s="32"/>
      <c r="DI139" s="32"/>
      <c r="DJ139" s="33"/>
      <c r="DK139" s="32"/>
      <c r="DL139" s="32"/>
      <c r="DM139" s="32"/>
      <c r="DN139" s="32"/>
      <c r="DO139" s="32"/>
      <c r="DP139" s="32"/>
      <c r="DQ139" s="32"/>
      <c r="DR139" s="32"/>
      <c r="DS139" s="32"/>
      <c r="DT139" s="32"/>
      <c r="DU139" s="32"/>
      <c r="DV139" s="32"/>
      <c r="DW139" s="32"/>
      <c r="DX139" s="32"/>
      <c r="DY139" s="32"/>
      <c r="DZ139" s="32"/>
      <c r="EA139" s="32"/>
      <c r="EB139" s="32"/>
      <c r="EC139" s="32"/>
      <c r="ED139" s="32"/>
      <c r="EE139" s="32"/>
      <c r="EF139" s="32"/>
      <c r="EG139" s="32"/>
      <c r="EH139" s="32"/>
      <c r="EI139" s="32"/>
      <c r="EJ139" s="32"/>
      <c r="EK139" s="32"/>
      <c r="EL139" s="32"/>
      <c r="EM139" s="32"/>
      <c r="EN139" s="32"/>
      <c r="EO139" t="s">
        <v>262</v>
      </c>
      <c r="EP139" t="s">
        <v>752</v>
      </c>
      <c r="EQ139" s="32"/>
      <c r="ER139" s="32"/>
    </row>
    <row r="140" spans="1:148" ht="29.25" customHeight="1" x14ac:dyDescent="0.3">
      <c r="A140" s="4">
        <v>159522</v>
      </c>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2"/>
      <c r="CA140" s="32"/>
      <c r="CB140" s="32"/>
      <c r="CC140" s="32"/>
      <c r="CD140" s="32"/>
      <c r="CE140" s="32"/>
      <c r="CF140" s="32"/>
      <c r="CG140" s="32"/>
      <c r="CH140" s="32"/>
      <c r="CI140" s="32"/>
      <c r="CJ140" s="32"/>
      <c r="CK140" s="32"/>
      <c r="CL140" s="32"/>
      <c r="CM140" s="32"/>
      <c r="CN140" s="32"/>
      <c r="CO140" s="32"/>
      <c r="CP140" s="32"/>
      <c r="CQ140" s="32"/>
      <c r="CR140" s="32"/>
      <c r="CS140" s="32"/>
      <c r="CT140" s="32"/>
      <c r="CU140" s="32"/>
      <c r="CV140" s="32"/>
      <c r="CW140" s="32"/>
      <c r="CX140" s="32"/>
      <c r="CY140" s="32"/>
      <c r="CZ140" s="32"/>
      <c r="DA140" s="32"/>
      <c r="DB140" s="32"/>
      <c r="DC140" s="32"/>
      <c r="DD140" s="32"/>
      <c r="DE140" s="32"/>
      <c r="DF140" s="32"/>
      <c r="DG140" s="32"/>
      <c r="DH140" s="32"/>
      <c r="DI140" s="32"/>
      <c r="DJ140" s="33"/>
      <c r="DK140" s="32"/>
      <c r="DL140" s="32"/>
      <c r="DM140" s="32"/>
      <c r="DN140" s="32"/>
      <c r="DO140" s="32"/>
      <c r="DP140" s="32"/>
      <c r="DQ140" s="32"/>
      <c r="DR140" s="32"/>
      <c r="DS140" s="32"/>
      <c r="DT140" s="32"/>
      <c r="DU140" s="32"/>
      <c r="DV140" s="32"/>
      <c r="DW140" s="32"/>
      <c r="DX140" s="32"/>
      <c r="DY140" s="32"/>
      <c r="DZ140" s="32"/>
      <c r="EA140" s="32"/>
      <c r="EB140" s="32"/>
      <c r="EC140" s="32"/>
      <c r="ED140" s="32"/>
      <c r="EE140" s="32"/>
      <c r="EF140" s="32"/>
      <c r="EG140" s="32"/>
      <c r="EH140" s="32"/>
      <c r="EI140" s="32"/>
      <c r="EJ140" s="32"/>
      <c r="EK140" s="32"/>
      <c r="EL140" s="32"/>
      <c r="EM140" s="32"/>
      <c r="EN140" s="32"/>
      <c r="EO140" t="s">
        <v>263</v>
      </c>
      <c r="EP140" t="s">
        <v>1201</v>
      </c>
      <c r="EQ140" s="32"/>
      <c r="ER140" s="32"/>
    </row>
    <row r="141" spans="1:148" ht="29.25" customHeight="1" x14ac:dyDescent="0.3">
      <c r="A141" s="4">
        <v>159745</v>
      </c>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c r="CV141" s="32"/>
      <c r="CW141" s="32"/>
      <c r="CX141" s="32"/>
      <c r="CY141" s="32"/>
      <c r="CZ141" s="32"/>
      <c r="DA141" s="32"/>
      <c r="DB141" s="32"/>
      <c r="DC141" s="32"/>
      <c r="DD141" s="32"/>
      <c r="DE141" s="32"/>
      <c r="DF141" s="32"/>
      <c r="DG141" s="32"/>
      <c r="DH141" s="32"/>
      <c r="DI141" s="32"/>
      <c r="DJ141" s="33"/>
      <c r="DK141" s="32"/>
      <c r="DL141" s="32"/>
      <c r="DM141" s="32"/>
      <c r="DN141" s="32"/>
      <c r="DO141" s="32"/>
      <c r="DP141" s="32"/>
      <c r="DQ141" s="32"/>
      <c r="DR141" s="32"/>
      <c r="DS141" s="32"/>
      <c r="DT141" s="32"/>
      <c r="DU141" s="32"/>
      <c r="DV141" s="32"/>
      <c r="DW141" s="32"/>
      <c r="DX141" s="32"/>
      <c r="DY141" s="32"/>
      <c r="DZ141" s="32"/>
      <c r="EA141" s="32"/>
      <c r="EB141" s="32"/>
      <c r="EC141" s="32"/>
      <c r="ED141" s="32"/>
      <c r="EE141" s="32"/>
      <c r="EF141" s="32"/>
      <c r="EG141" s="32"/>
      <c r="EH141" s="32"/>
      <c r="EI141" s="32"/>
      <c r="EJ141" s="32"/>
      <c r="EK141" s="32"/>
      <c r="EL141" s="32"/>
      <c r="EM141" s="32"/>
      <c r="EN141" s="32"/>
      <c r="EO141" t="s">
        <v>264</v>
      </c>
      <c r="EP141" t="s">
        <v>757</v>
      </c>
      <c r="EQ141" s="32"/>
      <c r="ER141" s="32"/>
    </row>
    <row r="142" spans="1:148" ht="29.25" customHeight="1" x14ac:dyDescent="0.3">
      <c r="A142" s="4">
        <v>160341</v>
      </c>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2"/>
      <c r="CA142" s="32"/>
      <c r="CB142" s="32"/>
      <c r="CC142" s="32"/>
      <c r="CD142" s="32"/>
      <c r="CE142" s="32"/>
      <c r="CF142" s="32"/>
      <c r="CG142" s="32"/>
      <c r="CH142" s="32"/>
      <c r="CI142" s="32"/>
      <c r="CJ142" s="32"/>
      <c r="CK142" s="32"/>
      <c r="CL142" s="32"/>
      <c r="CM142" s="32"/>
      <c r="CN142" s="32"/>
      <c r="CO142" s="32"/>
      <c r="CP142" s="32"/>
      <c r="CQ142" s="32"/>
      <c r="CR142" s="32"/>
      <c r="CS142" s="32"/>
      <c r="CT142" s="32"/>
      <c r="CU142" s="32"/>
      <c r="CV142" s="32"/>
      <c r="CW142" s="32"/>
      <c r="CX142" s="32"/>
      <c r="CY142" s="32"/>
      <c r="CZ142" s="32"/>
      <c r="DA142" s="32"/>
      <c r="DB142" s="32"/>
      <c r="DC142" s="32"/>
      <c r="DD142" s="32"/>
      <c r="DE142" s="32"/>
      <c r="DF142" s="32"/>
      <c r="DG142" s="32"/>
      <c r="DH142" s="32"/>
      <c r="DI142" s="32"/>
      <c r="DJ142" s="33"/>
      <c r="DK142" s="32"/>
      <c r="DL142" s="32"/>
      <c r="DM142" s="32"/>
      <c r="DN142" s="32"/>
      <c r="DO142" s="32"/>
      <c r="DP142" s="32"/>
      <c r="DQ142" s="32"/>
      <c r="DR142" s="32"/>
      <c r="DS142" s="32"/>
      <c r="DT142" s="32"/>
      <c r="DU142" s="32"/>
      <c r="DV142" s="32"/>
      <c r="DW142" s="32"/>
      <c r="DX142" s="32"/>
      <c r="DY142" s="32"/>
      <c r="DZ142" s="32"/>
      <c r="EA142" s="32"/>
      <c r="EB142" s="32"/>
      <c r="EC142" s="32"/>
      <c r="ED142" s="32"/>
      <c r="EE142" s="32"/>
      <c r="EF142" s="32"/>
      <c r="EG142" s="32"/>
      <c r="EH142" s="32"/>
      <c r="EI142" s="32"/>
      <c r="EJ142" s="32"/>
      <c r="EK142" s="32"/>
      <c r="EL142" s="32"/>
      <c r="EM142" s="32"/>
      <c r="EN142" s="32"/>
      <c r="EO142" t="s">
        <v>265</v>
      </c>
      <c r="EP142" t="s">
        <v>760</v>
      </c>
      <c r="EQ142" s="32"/>
      <c r="ER142" s="32"/>
    </row>
    <row r="143" spans="1:148" ht="29.25" customHeight="1" x14ac:dyDescent="0.3">
      <c r="A143" s="12">
        <v>160491</v>
      </c>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c r="CV143" s="32"/>
      <c r="CW143" s="32"/>
      <c r="CX143" s="32"/>
      <c r="CY143" s="32"/>
      <c r="CZ143" s="32"/>
      <c r="DA143" s="32"/>
      <c r="DB143" s="32"/>
      <c r="DC143" s="32"/>
      <c r="DD143" s="32"/>
      <c r="DE143" s="32"/>
      <c r="DF143" s="32"/>
      <c r="DG143" s="32"/>
      <c r="DH143" s="32"/>
      <c r="DI143" s="32"/>
      <c r="DJ143" s="33"/>
      <c r="DK143" s="32"/>
      <c r="DL143" s="32"/>
      <c r="DM143" s="32"/>
      <c r="DN143" s="32"/>
      <c r="DO143" s="32"/>
      <c r="DP143" s="32"/>
      <c r="DQ143" s="32"/>
      <c r="DR143" s="32"/>
      <c r="DS143" s="32"/>
      <c r="DT143" s="32"/>
      <c r="DU143" s="32"/>
      <c r="DV143" s="32"/>
      <c r="DW143" s="32"/>
      <c r="DX143" s="32"/>
      <c r="DY143" s="32"/>
      <c r="DZ143" s="32"/>
      <c r="EA143" s="32"/>
      <c r="EB143" s="32"/>
      <c r="EC143" s="32"/>
      <c r="ED143" s="32"/>
      <c r="EE143" s="32"/>
      <c r="EF143" s="32"/>
      <c r="EG143" s="32"/>
      <c r="EH143" s="32"/>
      <c r="EI143" s="32"/>
      <c r="EJ143" s="32"/>
      <c r="EK143" s="32"/>
      <c r="EL143" s="32"/>
      <c r="EM143" s="32"/>
      <c r="EN143" s="32"/>
      <c r="EO143" t="s">
        <v>266</v>
      </c>
      <c r="EP143" t="s">
        <v>763</v>
      </c>
      <c r="EQ143" s="32"/>
      <c r="ER143" s="32"/>
    </row>
    <row r="144" spans="1:148" ht="29.25" customHeight="1" x14ac:dyDescent="0.3">
      <c r="A144" s="4">
        <v>160832</v>
      </c>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c r="CV144" s="32"/>
      <c r="CW144" s="32"/>
      <c r="CX144" s="32"/>
      <c r="CY144" s="32"/>
      <c r="CZ144" s="32"/>
      <c r="DA144" s="32"/>
      <c r="DB144" s="32"/>
      <c r="DC144" s="32"/>
      <c r="DD144" s="32"/>
      <c r="DE144" s="32"/>
      <c r="DF144" s="32"/>
      <c r="DG144" s="32"/>
      <c r="DH144" s="32"/>
      <c r="DI144" s="32"/>
      <c r="DJ144" s="33"/>
      <c r="DK144" s="32"/>
      <c r="DL144" s="32"/>
      <c r="DM144" s="32"/>
      <c r="DN144" s="32"/>
      <c r="DO144" s="32"/>
      <c r="DP144" s="32"/>
      <c r="DQ144" s="32"/>
      <c r="DR144" s="32"/>
      <c r="DS144" s="32"/>
      <c r="DT144" s="32"/>
      <c r="DU144" s="32"/>
      <c r="DV144" s="32"/>
      <c r="DW144" s="32"/>
      <c r="DX144" s="32"/>
      <c r="DY144" s="32"/>
      <c r="DZ144" s="32"/>
      <c r="EA144" s="32"/>
      <c r="EB144" s="32"/>
      <c r="EC144" s="32"/>
      <c r="ED144" s="32"/>
      <c r="EE144" s="32"/>
      <c r="EF144" s="32"/>
      <c r="EG144" s="32"/>
      <c r="EH144" s="32"/>
      <c r="EI144" s="32"/>
      <c r="EJ144" s="32"/>
      <c r="EK144" s="32"/>
      <c r="EL144" s="32"/>
      <c r="EM144" s="32"/>
      <c r="EN144" s="32"/>
      <c r="EO144" t="s">
        <v>267</v>
      </c>
      <c r="EP144" t="s">
        <v>765</v>
      </c>
      <c r="EQ144" s="32"/>
      <c r="ER144" s="32"/>
    </row>
    <row r="145" spans="1:148" ht="29.25" customHeight="1" x14ac:dyDescent="0.3">
      <c r="A145" s="4">
        <v>161402</v>
      </c>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2"/>
      <c r="CA145" s="32"/>
      <c r="CB145" s="32"/>
      <c r="CC145" s="32"/>
      <c r="CD145" s="32"/>
      <c r="CE145" s="32"/>
      <c r="CF145" s="32"/>
      <c r="CG145" s="32"/>
      <c r="CH145" s="32"/>
      <c r="CI145" s="32"/>
      <c r="CJ145" s="32"/>
      <c r="CK145" s="32"/>
      <c r="CL145" s="32"/>
      <c r="CM145" s="32"/>
      <c r="CN145" s="32"/>
      <c r="CO145" s="32"/>
      <c r="CP145" s="32"/>
      <c r="CQ145" s="32"/>
      <c r="CR145" s="32"/>
      <c r="CS145" s="32"/>
      <c r="CT145" s="32"/>
      <c r="CU145" s="32"/>
      <c r="CV145" s="32"/>
      <c r="CW145" s="32"/>
      <c r="CX145" s="32"/>
      <c r="CY145" s="32"/>
      <c r="CZ145" s="32"/>
      <c r="DA145" s="32"/>
      <c r="DB145" s="32"/>
      <c r="DC145" s="32"/>
      <c r="DD145" s="32"/>
      <c r="DE145" s="32"/>
      <c r="DF145" s="32"/>
      <c r="DG145" s="32"/>
      <c r="DH145" s="32"/>
      <c r="DI145" s="32"/>
      <c r="DJ145" s="33"/>
      <c r="DK145" s="32"/>
      <c r="DL145" s="32"/>
      <c r="DM145" s="32"/>
      <c r="DN145" s="32"/>
      <c r="DO145" s="32"/>
      <c r="DP145" s="32"/>
      <c r="DQ145" s="32"/>
      <c r="DR145" s="32"/>
      <c r="DS145" s="32"/>
      <c r="DT145" s="32"/>
      <c r="DU145" s="32"/>
      <c r="DV145" s="32"/>
      <c r="DW145" s="32"/>
      <c r="DX145" s="32"/>
      <c r="DY145" s="32"/>
      <c r="DZ145" s="32"/>
      <c r="EA145" s="32"/>
      <c r="EB145" s="32"/>
      <c r="EC145" s="32"/>
      <c r="ED145" s="32"/>
      <c r="EE145" s="32"/>
      <c r="EF145" s="32"/>
      <c r="EG145" s="32"/>
      <c r="EH145" s="32"/>
      <c r="EI145" s="32"/>
      <c r="EJ145" s="32"/>
      <c r="EK145" s="32"/>
      <c r="EL145" s="32"/>
      <c r="EM145" s="32"/>
      <c r="EN145" s="32"/>
      <c r="EO145" t="s">
        <v>268</v>
      </c>
      <c r="EP145" t="s">
        <v>768</v>
      </c>
      <c r="EQ145" s="32"/>
      <c r="ER145" s="32"/>
    </row>
    <row r="146" spans="1:148" ht="29.25" customHeight="1" x14ac:dyDescent="0.3">
      <c r="A146" s="4">
        <v>161531</v>
      </c>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2"/>
      <c r="CA146" s="32"/>
      <c r="CB146" s="32"/>
      <c r="CC146" s="32"/>
      <c r="CD146" s="32"/>
      <c r="CE146" s="32"/>
      <c r="CF146" s="32"/>
      <c r="CG146" s="32"/>
      <c r="CH146" s="32"/>
      <c r="CI146" s="32"/>
      <c r="CJ146" s="32"/>
      <c r="CK146" s="32"/>
      <c r="CL146" s="32"/>
      <c r="CM146" s="32"/>
      <c r="CN146" s="32"/>
      <c r="CO146" s="32"/>
      <c r="CP146" s="32"/>
      <c r="CQ146" s="32"/>
      <c r="CR146" s="32"/>
      <c r="CS146" s="32"/>
      <c r="CT146" s="32"/>
      <c r="CU146" s="32"/>
      <c r="CV146" s="32"/>
      <c r="CW146" s="32"/>
      <c r="CX146" s="32"/>
      <c r="CY146" s="32"/>
      <c r="CZ146" s="32"/>
      <c r="DA146" s="32"/>
      <c r="DB146" s="32"/>
      <c r="DC146" s="32"/>
      <c r="DD146" s="32"/>
      <c r="DE146" s="32"/>
      <c r="DF146" s="32"/>
      <c r="DG146" s="32"/>
      <c r="DH146" s="32"/>
      <c r="DI146" s="32"/>
      <c r="DJ146" s="33"/>
      <c r="DK146" s="32"/>
      <c r="DL146" s="32"/>
      <c r="DM146" s="32"/>
      <c r="DN146" s="32"/>
      <c r="DO146" s="32"/>
      <c r="DP146" s="32"/>
      <c r="DQ146" s="32"/>
      <c r="DR146" s="32"/>
      <c r="DS146" s="32"/>
      <c r="DT146" s="32"/>
      <c r="DU146" s="32"/>
      <c r="DV146" s="32"/>
      <c r="DW146" s="32"/>
      <c r="DX146" s="32"/>
      <c r="DY146" s="32"/>
      <c r="DZ146" s="32"/>
      <c r="EA146" s="32"/>
      <c r="EB146" s="32"/>
      <c r="EC146" s="32"/>
      <c r="ED146" s="32"/>
      <c r="EE146" s="32"/>
      <c r="EF146" s="32"/>
      <c r="EG146" s="32"/>
      <c r="EH146" s="32"/>
      <c r="EI146" s="32"/>
      <c r="EJ146" s="32"/>
      <c r="EK146" s="32"/>
      <c r="EL146" s="32"/>
      <c r="EM146" s="32"/>
      <c r="EN146" s="32"/>
      <c r="EO146" t="s">
        <v>269</v>
      </c>
      <c r="EP146" t="s">
        <v>769</v>
      </c>
      <c r="EQ146" s="32"/>
      <c r="ER146" s="32"/>
    </row>
    <row r="147" spans="1:148" ht="29.25" customHeight="1" x14ac:dyDescent="0.3">
      <c r="A147" s="12">
        <v>161551</v>
      </c>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2"/>
      <c r="CA147" s="32"/>
      <c r="CB147" s="32"/>
      <c r="CC147" s="32"/>
      <c r="CD147" s="32"/>
      <c r="CE147" s="32"/>
      <c r="CF147" s="32"/>
      <c r="CG147" s="32"/>
      <c r="CH147" s="32"/>
      <c r="CI147" s="32"/>
      <c r="CJ147" s="32"/>
      <c r="CK147" s="32"/>
      <c r="CL147" s="32"/>
      <c r="CM147" s="32"/>
      <c r="CN147" s="32"/>
      <c r="CO147" s="32"/>
      <c r="CP147" s="32"/>
      <c r="CQ147" s="32"/>
      <c r="CR147" s="32"/>
      <c r="CS147" s="32"/>
      <c r="CT147" s="32"/>
      <c r="CU147" s="32"/>
      <c r="CV147" s="32"/>
      <c r="CW147" s="32"/>
      <c r="CX147" s="32"/>
      <c r="CY147" s="32"/>
      <c r="CZ147" s="32"/>
      <c r="DA147" s="32"/>
      <c r="DB147" s="32"/>
      <c r="DC147" s="32"/>
      <c r="DD147" s="32"/>
      <c r="DE147" s="32"/>
      <c r="DF147" s="32"/>
      <c r="DG147" s="32"/>
      <c r="DH147" s="32"/>
      <c r="DI147" s="32"/>
      <c r="DJ147" s="33"/>
      <c r="DK147" s="32"/>
      <c r="DL147" s="32"/>
      <c r="DM147" s="32"/>
      <c r="DN147" s="32"/>
      <c r="DO147" s="32"/>
      <c r="DP147" s="32"/>
      <c r="DQ147" s="32"/>
      <c r="DR147" s="32"/>
      <c r="DS147" s="32"/>
      <c r="DT147" s="32"/>
      <c r="DU147" s="32"/>
      <c r="DV147" s="32"/>
      <c r="DW147" s="32"/>
      <c r="DX147" s="32"/>
      <c r="DY147" s="32"/>
      <c r="DZ147" s="32"/>
      <c r="EA147" s="32"/>
      <c r="EB147" s="32"/>
      <c r="EC147" s="32"/>
      <c r="ED147" s="32"/>
      <c r="EE147" s="32"/>
      <c r="EF147" s="32"/>
      <c r="EG147" s="32"/>
      <c r="EH147" s="32"/>
      <c r="EI147" s="32"/>
      <c r="EJ147" s="32"/>
      <c r="EK147" s="32"/>
      <c r="EL147" s="32"/>
      <c r="EM147" s="32"/>
      <c r="EN147" s="32"/>
      <c r="EO147" t="s">
        <v>270</v>
      </c>
      <c r="EP147" t="s">
        <v>770</v>
      </c>
      <c r="EQ147" s="32"/>
      <c r="ER147" s="32"/>
    </row>
    <row r="148" spans="1:148" ht="29.25" customHeight="1" x14ac:dyDescent="0.3">
      <c r="A148" s="12">
        <v>161899</v>
      </c>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3"/>
      <c r="DK148" s="32"/>
      <c r="DL148" s="32"/>
      <c r="DM148" s="32"/>
      <c r="DN148" s="32"/>
      <c r="DO148" s="32"/>
      <c r="DP148" s="32"/>
      <c r="DQ148" s="32"/>
      <c r="DR148" s="32"/>
      <c r="DS148" s="32"/>
      <c r="DT148" s="32"/>
      <c r="DU148" s="32"/>
      <c r="DV148" s="32"/>
      <c r="DW148" s="32"/>
      <c r="DX148" s="32"/>
      <c r="DY148" s="32"/>
      <c r="DZ148" s="32"/>
      <c r="EA148" s="32"/>
      <c r="EB148" s="32"/>
      <c r="EC148" s="32"/>
      <c r="ED148" s="32"/>
      <c r="EE148" s="32"/>
      <c r="EF148" s="32"/>
      <c r="EG148" s="32"/>
      <c r="EH148" s="32"/>
      <c r="EI148" s="32"/>
      <c r="EJ148" s="32"/>
      <c r="EK148" s="32"/>
      <c r="EL148" s="32"/>
      <c r="EM148" s="32"/>
      <c r="EN148" s="32"/>
      <c r="EO148" t="s">
        <v>1186</v>
      </c>
      <c r="EP148" t="s">
        <v>772</v>
      </c>
      <c r="EQ148" s="32"/>
      <c r="ER148" s="32"/>
    </row>
    <row r="149" spans="1:148" ht="29.25" customHeight="1" x14ac:dyDescent="0.3">
      <c r="A149" s="4">
        <v>162101</v>
      </c>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3"/>
      <c r="DK149" s="32"/>
      <c r="DL149" s="32"/>
      <c r="DM149" s="32"/>
      <c r="DN149" s="32"/>
      <c r="DO149" s="32"/>
      <c r="DP149" s="32"/>
      <c r="DQ149" s="32"/>
      <c r="DR149" s="32"/>
      <c r="DS149" s="32"/>
      <c r="DT149" s="32"/>
      <c r="DU149" s="32"/>
      <c r="DV149" s="32"/>
      <c r="DW149" s="32"/>
      <c r="DX149" s="32"/>
      <c r="DY149" s="32"/>
      <c r="DZ149" s="32"/>
      <c r="EA149" s="32"/>
      <c r="EB149" s="32"/>
      <c r="EC149" s="32"/>
      <c r="ED149" s="32"/>
      <c r="EE149" s="32"/>
      <c r="EF149" s="32"/>
      <c r="EG149" s="32"/>
      <c r="EH149" s="32"/>
      <c r="EI149" s="32"/>
      <c r="EJ149" s="32"/>
      <c r="EK149" s="32"/>
      <c r="EL149" s="32"/>
      <c r="EM149" s="32"/>
      <c r="EN149" s="32"/>
      <c r="EO149" t="s">
        <v>1229</v>
      </c>
      <c r="EP149" t="s">
        <v>1231</v>
      </c>
      <c r="EQ149" s="32"/>
      <c r="ER149" s="32"/>
    </row>
    <row r="150" spans="1:148" ht="29.25" customHeight="1" x14ac:dyDescent="0.3">
      <c r="A150" s="4">
        <v>162430</v>
      </c>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2"/>
      <c r="CA150" s="32"/>
      <c r="CB150" s="32"/>
      <c r="CC150" s="32"/>
      <c r="CD150" s="32"/>
      <c r="CE150" s="32"/>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3"/>
      <c r="DK150" s="32"/>
      <c r="DL150" s="32"/>
      <c r="DM150" s="32"/>
      <c r="DN150" s="32"/>
      <c r="DO150" s="32"/>
      <c r="DP150" s="32"/>
      <c r="DQ150" s="32"/>
      <c r="DR150" s="32"/>
      <c r="DS150" s="32"/>
      <c r="DT150" s="32"/>
      <c r="DU150" s="32"/>
      <c r="DV150" s="32"/>
      <c r="DW150" s="32"/>
      <c r="DX150" s="32"/>
      <c r="DY150" s="32"/>
      <c r="DZ150" s="32"/>
      <c r="EA150" s="32"/>
      <c r="EB150" s="32"/>
      <c r="EC150" s="32"/>
      <c r="ED150" s="32"/>
      <c r="EE150" s="32"/>
      <c r="EF150" s="32"/>
      <c r="EG150" s="32"/>
      <c r="EH150" s="32"/>
      <c r="EI150" s="32"/>
      <c r="EJ150" s="32"/>
      <c r="EK150" s="32"/>
      <c r="EL150" s="32"/>
      <c r="EM150" s="32"/>
      <c r="EN150" s="32"/>
      <c r="EO150" t="s">
        <v>1230</v>
      </c>
      <c r="EP150" t="s">
        <v>1232</v>
      </c>
      <c r="EQ150" s="32"/>
      <c r="ER150" s="32"/>
    </row>
    <row r="151" spans="1:148" ht="29.25" customHeight="1" x14ac:dyDescent="0.3">
      <c r="A151" s="4">
        <v>163110</v>
      </c>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2"/>
      <c r="CA151" s="32"/>
      <c r="CB151" s="32"/>
      <c r="CC151" s="32"/>
      <c r="CD151" s="32"/>
      <c r="CE151" s="32"/>
      <c r="CF151" s="32"/>
      <c r="CG151" s="32"/>
      <c r="CH151" s="32"/>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33"/>
      <c r="DK151" s="32"/>
      <c r="DL151" s="32"/>
      <c r="DM151" s="32"/>
      <c r="DN151" s="32"/>
      <c r="DO151" s="32"/>
      <c r="DP151" s="32"/>
      <c r="DQ151" s="32"/>
      <c r="DR151" s="32"/>
      <c r="DS151" s="32"/>
      <c r="DT151" s="32"/>
      <c r="DU151" s="32"/>
      <c r="DV151" s="32"/>
      <c r="DW151" s="32"/>
      <c r="DX151" s="32"/>
      <c r="DY151" s="32"/>
      <c r="DZ151" s="32"/>
      <c r="EA151" s="32"/>
      <c r="EB151" s="32"/>
      <c r="EC151" s="32"/>
      <c r="ED151" s="32"/>
      <c r="EE151" s="32"/>
      <c r="EF151" s="32"/>
      <c r="EG151" s="32"/>
      <c r="EH151" s="32"/>
      <c r="EI151" s="32"/>
      <c r="EJ151" s="32"/>
      <c r="EK151" s="32"/>
      <c r="EL151" s="32"/>
      <c r="EM151" s="32"/>
      <c r="EN151" s="32"/>
      <c r="EO151" t="s">
        <v>1162</v>
      </c>
      <c r="EP151" t="s">
        <v>774</v>
      </c>
      <c r="EQ151" s="32"/>
      <c r="ER151" s="32"/>
    </row>
    <row r="152" spans="1:148" ht="29.25" customHeight="1" x14ac:dyDescent="0.3">
      <c r="A152" s="4">
        <v>163227</v>
      </c>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2"/>
      <c r="CA152" s="32"/>
      <c r="CB152" s="32"/>
      <c r="CC152" s="32"/>
      <c r="CD152" s="32"/>
      <c r="CE152" s="32"/>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33"/>
      <c r="DK152" s="32"/>
      <c r="DL152" s="32"/>
      <c r="DM152" s="32"/>
      <c r="DN152" s="32"/>
      <c r="DO152" s="32"/>
      <c r="DP152" s="32"/>
      <c r="DQ152" s="32"/>
      <c r="DR152" s="32"/>
      <c r="DS152" s="32"/>
      <c r="DT152" s="32"/>
      <c r="DU152" s="32"/>
      <c r="DV152" s="32"/>
      <c r="DW152" s="32"/>
      <c r="DX152" s="32"/>
      <c r="DY152" s="32"/>
      <c r="DZ152" s="32"/>
      <c r="EA152" s="32"/>
      <c r="EB152" s="32"/>
      <c r="EC152" s="32"/>
      <c r="ED152" s="32"/>
      <c r="EE152" s="32"/>
      <c r="EF152" s="32"/>
      <c r="EG152" s="32"/>
      <c r="EH152" s="32"/>
      <c r="EI152" s="32"/>
      <c r="EJ152" s="32"/>
      <c r="EK152" s="32"/>
      <c r="EL152" s="32"/>
      <c r="EM152" s="32"/>
      <c r="EN152" s="32"/>
      <c r="EO152" t="s">
        <v>1144</v>
      </c>
      <c r="EP152" t="s">
        <v>777</v>
      </c>
      <c r="EQ152" s="32"/>
      <c r="ER152" s="32"/>
    </row>
    <row r="153" spans="1:148" ht="29.25" customHeight="1" x14ac:dyDescent="0.3">
      <c r="A153" s="4">
        <v>163354</v>
      </c>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2"/>
      <c r="CA153" s="32"/>
      <c r="CB153" s="32"/>
      <c r="CC153" s="32"/>
      <c r="CD153" s="32"/>
      <c r="CE153" s="32"/>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3"/>
      <c r="DK153" s="32"/>
      <c r="DL153" s="32"/>
      <c r="DM153" s="32"/>
      <c r="DN153" s="32"/>
      <c r="DO153" s="32"/>
      <c r="DP153" s="32"/>
      <c r="DQ153" s="32"/>
      <c r="DR153" s="32"/>
      <c r="DS153" s="32"/>
      <c r="DT153" s="32"/>
      <c r="DU153" s="32"/>
      <c r="DV153" s="32"/>
      <c r="DW153" s="32"/>
      <c r="DX153" s="32"/>
      <c r="DY153" s="32"/>
      <c r="DZ153" s="32"/>
      <c r="EA153" s="32"/>
      <c r="EB153" s="32"/>
      <c r="EC153" s="32"/>
      <c r="ED153" s="32"/>
      <c r="EE153" s="32"/>
      <c r="EF153" s="32"/>
      <c r="EG153" s="32"/>
      <c r="EH153" s="32"/>
      <c r="EI153" s="32"/>
      <c r="EJ153" s="32"/>
      <c r="EK153" s="32"/>
      <c r="EL153" s="32"/>
      <c r="EM153" s="32"/>
      <c r="EN153" s="32"/>
      <c r="EO153" t="s">
        <v>272</v>
      </c>
      <c r="EP153" t="s">
        <v>778</v>
      </c>
      <c r="EQ153" s="32"/>
      <c r="ER153" s="32"/>
    </row>
    <row r="154" spans="1:148" ht="29.25" customHeight="1" x14ac:dyDescent="0.3">
      <c r="A154" s="4">
        <v>164436</v>
      </c>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2"/>
      <c r="CA154" s="32"/>
      <c r="CB154" s="32"/>
      <c r="CC154" s="32"/>
      <c r="CD154" s="32"/>
      <c r="CE154" s="32"/>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3"/>
      <c r="DK154" s="32"/>
      <c r="DL154" s="32"/>
      <c r="DM154" s="32"/>
      <c r="DN154" s="32"/>
      <c r="DO154" s="32"/>
      <c r="DP154" s="32"/>
      <c r="DQ154" s="32"/>
      <c r="DR154" s="32"/>
      <c r="DS154" s="32"/>
      <c r="DT154" s="32"/>
      <c r="DU154" s="32"/>
      <c r="DV154" s="32"/>
      <c r="DW154" s="32"/>
      <c r="DX154" s="32"/>
      <c r="DY154" s="32"/>
      <c r="DZ154" s="32"/>
      <c r="EA154" s="32"/>
      <c r="EB154" s="32"/>
      <c r="EC154" s="32"/>
      <c r="ED154" s="32"/>
      <c r="EE154" s="32"/>
      <c r="EF154" s="32"/>
      <c r="EG154" s="32"/>
      <c r="EH154" s="32"/>
      <c r="EI154" s="32"/>
      <c r="EJ154" s="32"/>
      <c r="EK154" s="32"/>
      <c r="EL154" s="32"/>
      <c r="EM154" s="32"/>
      <c r="EN154" s="32"/>
      <c r="EO154" t="s">
        <v>273</v>
      </c>
      <c r="EP154" t="s">
        <v>780</v>
      </c>
      <c r="EQ154" s="32"/>
      <c r="ER154" s="32"/>
    </row>
    <row r="155" spans="1:148" ht="29.25" customHeight="1" x14ac:dyDescent="0.3">
      <c r="A155" s="4">
        <v>164513</v>
      </c>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2"/>
      <c r="CA155" s="32"/>
      <c r="CB155" s="32"/>
      <c r="CC155" s="32"/>
      <c r="CD155" s="32"/>
      <c r="CE155" s="32"/>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33"/>
      <c r="DK155" s="32"/>
      <c r="DL155" s="32"/>
      <c r="DM155" s="32"/>
      <c r="DN155" s="32"/>
      <c r="DO155" s="32"/>
      <c r="DP155" s="32"/>
      <c r="DQ155" s="32"/>
      <c r="DR155" s="32"/>
      <c r="DS155" s="32"/>
      <c r="DT155" s="32"/>
      <c r="DU155" s="32"/>
      <c r="DV155" s="32"/>
      <c r="DW155" s="32"/>
      <c r="DX155" s="32"/>
      <c r="DY155" s="32"/>
      <c r="DZ155" s="32"/>
      <c r="EA155" s="32"/>
      <c r="EB155" s="32"/>
      <c r="EC155" s="32"/>
      <c r="ED155" s="32"/>
      <c r="EE155" s="32"/>
      <c r="EF155" s="32"/>
      <c r="EG155" s="32"/>
      <c r="EH155" s="32"/>
      <c r="EI155" s="32"/>
      <c r="EJ155" s="32"/>
      <c r="EK155" s="32"/>
      <c r="EL155" s="32"/>
      <c r="EM155" s="32"/>
      <c r="EN155" s="32"/>
      <c r="EO155" t="s">
        <v>1132</v>
      </c>
      <c r="EP155" t="s">
        <v>784</v>
      </c>
      <c r="EQ155" s="32"/>
      <c r="ER155" s="32"/>
    </row>
    <row r="156" spans="1:148" ht="29.25" customHeight="1" x14ac:dyDescent="0.3">
      <c r="A156" s="4">
        <v>164972</v>
      </c>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2"/>
      <c r="CA156" s="32"/>
      <c r="CB156" s="32"/>
      <c r="CC156" s="32"/>
      <c r="CD156" s="32"/>
      <c r="CE156" s="32"/>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3"/>
      <c r="DK156" s="32"/>
      <c r="DL156" s="32"/>
      <c r="DM156" s="32"/>
      <c r="DN156" s="32"/>
      <c r="DO156" s="32"/>
      <c r="DP156" s="32"/>
      <c r="DQ156" s="32"/>
      <c r="DR156" s="32"/>
      <c r="DS156" s="32"/>
      <c r="DT156" s="32"/>
      <c r="DU156" s="32"/>
      <c r="DV156" s="32"/>
      <c r="DW156" s="32"/>
      <c r="DX156" s="32"/>
      <c r="DY156" s="32"/>
      <c r="DZ156" s="32"/>
      <c r="EA156" s="32"/>
      <c r="EB156" s="32"/>
      <c r="EC156" s="32"/>
      <c r="ED156" s="32"/>
      <c r="EE156" s="32"/>
      <c r="EF156" s="32"/>
      <c r="EG156" s="32"/>
      <c r="EH156" s="32"/>
      <c r="EI156" s="32"/>
      <c r="EJ156" s="32"/>
      <c r="EK156" s="32"/>
      <c r="EL156" s="32"/>
      <c r="EM156" s="32"/>
      <c r="EN156" s="32"/>
      <c r="EO156" t="s">
        <v>274</v>
      </c>
      <c r="EP156" t="s">
        <v>788</v>
      </c>
      <c r="EQ156" s="32"/>
      <c r="ER156" s="32"/>
    </row>
    <row r="157" spans="1:148" ht="29.25" customHeight="1" x14ac:dyDescent="0.3">
      <c r="A157" s="4">
        <v>165111</v>
      </c>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2"/>
      <c r="CA157" s="32"/>
      <c r="CB157" s="32"/>
      <c r="CC157" s="32"/>
      <c r="CD157" s="32"/>
      <c r="CE157" s="32"/>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3"/>
      <c r="DK157" s="32"/>
      <c r="DL157" s="32"/>
      <c r="DM157" s="32"/>
      <c r="DN157" s="32"/>
      <c r="DO157" s="32"/>
      <c r="DP157" s="32"/>
      <c r="DQ157" s="32"/>
      <c r="DR157" s="32"/>
      <c r="DS157" s="32"/>
      <c r="DT157" s="32"/>
      <c r="DU157" s="32"/>
      <c r="DV157" s="32"/>
      <c r="DW157" s="32"/>
      <c r="DX157" s="32"/>
      <c r="DY157" s="32"/>
      <c r="DZ157" s="32"/>
      <c r="EA157" s="32"/>
      <c r="EB157" s="32"/>
      <c r="EC157" s="32"/>
      <c r="ED157" s="32"/>
      <c r="EE157" s="32"/>
      <c r="EF157" s="32"/>
      <c r="EG157" s="32"/>
      <c r="EH157" s="32"/>
      <c r="EI157" s="32"/>
      <c r="EJ157" s="32"/>
      <c r="EK157" s="32"/>
      <c r="EL157" s="32"/>
      <c r="EM157" s="32"/>
      <c r="EN157" s="32"/>
      <c r="EO157" t="s">
        <v>275</v>
      </c>
      <c r="EP157" t="s">
        <v>789</v>
      </c>
      <c r="EQ157" s="32"/>
      <c r="ER157" s="32"/>
    </row>
    <row r="158" spans="1:148" ht="29.25" customHeight="1" x14ac:dyDescent="0.3">
      <c r="A158" s="4">
        <v>165432</v>
      </c>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2"/>
      <c r="CA158" s="32"/>
      <c r="CB158" s="32"/>
      <c r="CC158" s="32"/>
      <c r="CD158" s="32"/>
      <c r="CE158" s="32"/>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3"/>
      <c r="DK158" s="32"/>
      <c r="DL158" s="32"/>
      <c r="DM158" s="32"/>
      <c r="DN158" s="32"/>
      <c r="DO158" s="32"/>
      <c r="DP158" s="32"/>
      <c r="DQ158" s="32"/>
      <c r="DR158" s="32"/>
      <c r="DS158" s="32"/>
      <c r="DT158" s="32"/>
      <c r="DU158" s="32"/>
      <c r="DV158" s="32"/>
      <c r="DW158" s="32"/>
      <c r="DX158" s="32"/>
      <c r="DY158" s="32"/>
      <c r="DZ158" s="32"/>
      <c r="EA158" s="32"/>
      <c r="EB158" s="32"/>
      <c r="EC158" s="32"/>
      <c r="ED158" s="32"/>
      <c r="EE158" s="32"/>
      <c r="EF158" s="32"/>
      <c r="EG158" s="32"/>
      <c r="EH158" s="32"/>
      <c r="EI158" s="32"/>
      <c r="EJ158" s="32"/>
      <c r="EK158" s="32"/>
      <c r="EL158" s="32"/>
      <c r="EM158" s="32"/>
      <c r="EN158" s="32"/>
      <c r="EQ158" s="32"/>
      <c r="ER158" s="32"/>
    </row>
    <row r="159" spans="1:148" ht="29.25" customHeight="1" x14ac:dyDescent="0.3">
      <c r="A159" s="4">
        <v>165777</v>
      </c>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2"/>
      <c r="CA159" s="32"/>
      <c r="CB159" s="32"/>
      <c r="CC159" s="32"/>
      <c r="CD159" s="32"/>
      <c r="CE159" s="32"/>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3"/>
      <c r="DK159" s="32"/>
      <c r="DL159" s="32"/>
      <c r="DM159" s="32"/>
      <c r="DN159" s="32"/>
      <c r="DO159" s="32"/>
      <c r="DP159" s="32"/>
      <c r="DQ159" s="32"/>
      <c r="DR159" s="32"/>
      <c r="DS159" s="32"/>
      <c r="DT159" s="32"/>
      <c r="DU159" s="32"/>
      <c r="DV159" s="32"/>
      <c r="DW159" s="32"/>
      <c r="DX159" s="32"/>
      <c r="DY159" s="32"/>
      <c r="DZ159" s="32"/>
      <c r="EA159" s="32"/>
      <c r="EB159" s="32"/>
      <c r="EC159" s="32"/>
      <c r="ED159" s="32"/>
      <c r="EE159" s="32"/>
      <c r="EF159" s="32"/>
      <c r="EG159" s="32"/>
      <c r="EH159" s="32"/>
      <c r="EI159" s="32"/>
      <c r="EJ159" s="32"/>
      <c r="EK159" s="32"/>
      <c r="EL159" s="32"/>
      <c r="EM159" s="32"/>
      <c r="EN159" s="32"/>
      <c r="EQ159" s="32"/>
      <c r="ER159" s="32"/>
    </row>
    <row r="160" spans="1:148" ht="29.25" customHeight="1" x14ac:dyDescent="0.3">
      <c r="A160" s="4">
        <v>165983</v>
      </c>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2"/>
      <c r="CA160" s="32"/>
      <c r="CB160" s="32"/>
      <c r="CC160" s="32"/>
      <c r="CD160" s="32"/>
      <c r="CE160" s="32"/>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3"/>
      <c r="DK160" s="32"/>
      <c r="DL160" s="32"/>
      <c r="DM160" s="32"/>
      <c r="DN160" s="32"/>
      <c r="DO160" s="32"/>
      <c r="DP160" s="32"/>
      <c r="DQ160" s="32"/>
      <c r="DR160" s="32"/>
      <c r="DS160" s="32"/>
      <c r="DT160" s="32"/>
      <c r="DU160" s="32"/>
      <c r="DV160" s="32"/>
      <c r="DW160" s="32"/>
      <c r="DX160" s="32"/>
      <c r="DY160" s="32"/>
      <c r="DZ160" s="32"/>
      <c r="EA160" s="32"/>
      <c r="EB160" s="32"/>
      <c r="EC160" s="32"/>
      <c r="ED160" s="32"/>
      <c r="EE160" s="32"/>
      <c r="EF160" s="32"/>
      <c r="EG160" s="32"/>
      <c r="EH160" s="32"/>
      <c r="EI160" s="32"/>
      <c r="EJ160" s="32"/>
      <c r="EK160" s="32"/>
      <c r="EL160" s="32"/>
      <c r="EM160" s="32"/>
      <c r="EN160" s="32"/>
      <c r="EQ160" s="32"/>
      <c r="ER160" s="32"/>
    </row>
    <row r="161" spans="1:148" ht="29.25" customHeight="1" x14ac:dyDescent="0.3">
      <c r="A161" s="4">
        <v>166051</v>
      </c>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2"/>
      <c r="CA161" s="32"/>
      <c r="CB161" s="32"/>
      <c r="CC161" s="32"/>
      <c r="CD161" s="32"/>
      <c r="CE161" s="32"/>
      <c r="CF161" s="32"/>
      <c r="CG161" s="32"/>
      <c r="CH161" s="32"/>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33"/>
      <c r="DK161" s="32"/>
      <c r="DL161" s="32"/>
      <c r="DM161" s="32"/>
      <c r="DN161" s="32"/>
      <c r="DO161" s="32"/>
      <c r="DP161" s="32"/>
      <c r="DQ161" s="32"/>
      <c r="DR161" s="32"/>
      <c r="DS161" s="32"/>
      <c r="DT161" s="32"/>
      <c r="DU161" s="32"/>
      <c r="DV161" s="32"/>
      <c r="DW161" s="32"/>
      <c r="DX161" s="32"/>
      <c r="DY161" s="32"/>
      <c r="DZ161" s="32"/>
      <c r="EA161" s="32"/>
      <c r="EB161" s="32"/>
      <c r="EC161" s="32"/>
      <c r="ED161" s="32"/>
      <c r="EE161" s="32"/>
      <c r="EF161" s="32"/>
      <c r="EG161" s="32"/>
      <c r="EH161" s="32"/>
      <c r="EI161" s="32"/>
      <c r="EJ161" s="32"/>
      <c r="EK161" s="32"/>
      <c r="EL161" s="32"/>
      <c r="EM161" s="32"/>
      <c r="EN161" s="32"/>
      <c r="EQ161" s="32"/>
      <c r="ER161" s="32"/>
    </row>
    <row r="162" spans="1:148" ht="29.25" customHeight="1" x14ac:dyDescent="0.3">
      <c r="A162" s="4">
        <v>166460</v>
      </c>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2"/>
      <c r="CA162" s="32"/>
      <c r="CB162" s="32"/>
      <c r="CC162" s="32"/>
      <c r="CD162" s="32"/>
      <c r="CE162" s="32"/>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33"/>
      <c r="DK162" s="32"/>
      <c r="DL162" s="32"/>
      <c r="DM162" s="32"/>
      <c r="DN162" s="32"/>
      <c r="DO162" s="32"/>
      <c r="DP162" s="32"/>
      <c r="DQ162" s="32"/>
      <c r="DR162" s="32"/>
      <c r="DS162" s="32"/>
      <c r="DT162" s="32"/>
      <c r="DU162" s="32"/>
      <c r="DV162" s="32"/>
      <c r="DW162" s="32"/>
      <c r="DX162" s="32"/>
      <c r="DY162" s="32"/>
      <c r="DZ162" s="32"/>
      <c r="EA162" s="32"/>
      <c r="EB162" s="32"/>
      <c r="EC162" s="32"/>
      <c r="ED162" s="32"/>
      <c r="EE162" s="32"/>
      <c r="EF162" s="32"/>
      <c r="EG162" s="32"/>
      <c r="EH162" s="32"/>
      <c r="EI162" s="32"/>
      <c r="EJ162" s="32"/>
      <c r="EK162" s="32"/>
      <c r="EL162" s="32"/>
      <c r="EM162" s="32"/>
      <c r="EN162" s="32"/>
      <c r="EQ162" s="32"/>
      <c r="ER162" s="32"/>
    </row>
    <row r="163" spans="1:148" ht="29.25" customHeight="1" x14ac:dyDescent="0.3">
      <c r="A163" s="4">
        <v>167128</v>
      </c>
      <c r="B163" s="31"/>
      <c r="C163" s="31"/>
      <c r="D163" s="31"/>
      <c r="E163" s="31"/>
      <c r="F163" s="31"/>
      <c r="G163" s="31"/>
      <c r="H163" s="31"/>
      <c r="I163" s="31"/>
      <c r="J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2"/>
      <c r="CA163" s="32"/>
      <c r="CB163" s="32"/>
      <c r="CC163" s="32"/>
      <c r="CD163" s="32"/>
      <c r="CE163" s="32"/>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3"/>
      <c r="DK163" s="32"/>
      <c r="DL163" s="32"/>
      <c r="DM163" s="32"/>
      <c r="DN163" s="32"/>
      <c r="DO163" s="32"/>
      <c r="DP163" s="32"/>
      <c r="DQ163" s="32"/>
      <c r="DR163" s="32"/>
      <c r="DS163" s="32"/>
      <c r="DT163" s="32"/>
      <c r="DU163" s="32"/>
      <c r="DV163" s="32"/>
      <c r="DW163" s="32"/>
      <c r="DX163" s="32"/>
      <c r="DY163" s="32"/>
      <c r="DZ163" s="32"/>
      <c r="EA163" s="32"/>
      <c r="EB163" s="32"/>
      <c r="EC163" s="32"/>
      <c r="ED163" s="32"/>
      <c r="EE163" s="32"/>
      <c r="EF163" s="32"/>
      <c r="EG163" s="32"/>
      <c r="EH163" s="32"/>
      <c r="EI163" s="32"/>
      <c r="EJ163" s="32"/>
      <c r="EK163" s="32"/>
      <c r="EL163" s="32"/>
      <c r="EM163" s="32"/>
      <c r="EN163" s="32"/>
      <c r="EQ163" s="32"/>
      <c r="ER163" s="32"/>
    </row>
    <row r="164" spans="1:148" ht="29.25" customHeight="1" x14ac:dyDescent="0.3">
      <c r="A164" s="4">
        <v>167600</v>
      </c>
      <c r="B164" s="31"/>
      <c r="C164" s="31"/>
      <c r="D164" s="31"/>
      <c r="E164" s="31"/>
      <c r="F164" s="31"/>
      <c r="G164" s="31"/>
      <c r="H164" s="31"/>
      <c r="I164" s="31"/>
      <c r="J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2"/>
      <c r="CA164" s="32"/>
      <c r="CB164" s="32"/>
      <c r="CC164" s="32"/>
      <c r="CD164" s="32"/>
      <c r="CE164" s="32"/>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3"/>
      <c r="DK164" s="32"/>
      <c r="DL164" s="32"/>
      <c r="DM164" s="32"/>
      <c r="DN164" s="32"/>
      <c r="DO164" s="32"/>
      <c r="DP164" s="32"/>
      <c r="DQ164" s="32"/>
      <c r="DR164" s="32"/>
      <c r="DS164" s="32"/>
      <c r="DT164" s="32"/>
      <c r="DU164" s="32"/>
      <c r="DV164" s="32"/>
      <c r="DW164" s="32"/>
      <c r="DX164" s="32"/>
      <c r="DY164" s="32"/>
      <c r="DZ164" s="32"/>
      <c r="EA164" s="32"/>
      <c r="EB164" s="32"/>
      <c r="EC164" s="32"/>
      <c r="ED164" s="32"/>
      <c r="EE164" s="32"/>
      <c r="EF164" s="32"/>
      <c r="EG164" s="32"/>
      <c r="EH164" s="32"/>
      <c r="EI164" s="32"/>
      <c r="EJ164" s="32"/>
      <c r="EK164" s="32"/>
      <c r="EL164" s="32"/>
      <c r="EM164" s="32"/>
      <c r="EN164" s="32"/>
      <c r="EQ164" s="32"/>
      <c r="ER164" s="32"/>
    </row>
    <row r="165" spans="1:148" ht="29.25" customHeight="1" x14ac:dyDescent="0.3">
      <c r="A165" s="4">
        <v>167664</v>
      </c>
      <c r="B165" s="31"/>
      <c r="C165" s="31"/>
      <c r="D165" s="31"/>
      <c r="E165" s="31"/>
      <c r="F165" s="31"/>
      <c r="G165" s="31"/>
      <c r="H165" s="31"/>
      <c r="I165" s="31"/>
      <c r="J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2"/>
      <c r="CA165" s="32"/>
      <c r="CB165" s="32"/>
      <c r="CC165" s="32"/>
      <c r="CD165" s="32"/>
      <c r="CE165" s="32"/>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3"/>
      <c r="DK165" s="32"/>
      <c r="DL165" s="32"/>
      <c r="DM165" s="32"/>
      <c r="DN165" s="32"/>
      <c r="DO165" s="32"/>
      <c r="DP165" s="32"/>
      <c r="DQ165" s="32"/>
      <c r="DR165" s="32"/>
      <c r="DS165" s="32"/>
      <c r="DT165" s="32"/>
      <c r="DU165" s="32"/>
      <c r="DV165" s="32"/>
      <c r="DW165" s="32"/>
      <c r="DX165" s="32"/>
      <c r="DY165" s="32"/>
      <c r="DZ165" s="32"/>
      <c r="EA165" s="32"/>
      <c r="EB165" s="32"/>
      <c r="EC165" s="32"/>
      <c r="ED165" s="32"/>
      <c r="EE165" s="32"/>
      <c r="EF165" s="32"/>
      <c r="EG165" s="32"/>
      <c r="EH165" s="32"/>
      <c r="EI165" s="32"/>
      <c r="EJ165" s="32"/>
      <c r="EK165" s="32"/>
      <c r="EL165" s="32"/>
      <c r="EM165" s="32"/>
      <c r="EN165" s="32"/>
      <c r="EQ165" s="32"/>
      <c r="ER165" s="32"/>
    </row>
    <row r="166" spans="1:148" ht="29.25" customHeight="1" x14ac:dyDescent="0.3">
      <c r="A166" s="4">
        <v>167953</v>
      </c>
      <c r="B166" s="31"/>
      <c r="C166" s="31"/>
      <c r="D166" s="31"/>
      <c r="E166" s="31"/>
      <c r="F166" s="31"/>
      <c r="G166" s="31"/>
      <c r="H166" s="31"/>
      <c r="I166" s="31"/>
      <c r="J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2"/>
      <c r="CA166" s="32"/>
      <c r="CB166" s="32"/>
      <c r="CC166" s="32"/>
      <c r="CD166" s="32"/>
      <c r="CE166" s="32"/>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3"/>
      <c r="DK166" s="32"/>
      <c r="DL166" s="32"/>
      <c r="DM166" s="32"/>
      <c r="DN166" s="32"/>
      <c r="DO166" s="32"/>
      <c r="DP166" s="32"/>
      <c r="DQ166" s="32"/>
      <c r="DR166" s="32"/>
      <c r="DS166" s="32"/>
      <c r="DT166" s="32"/>
      <c r="DU166" s="32"/>
      <c r="DV166" s="32"/>
      <c r="DW166" s="32"/>
      <c r="DX166" s="32"/>
      <c r="DY166" s="32"/>
      <c r="DZ166" s="32"/>
      <c r="EA166" s="32"/>
      <c r="EB166" s="32"/>
      <c r="EC166" s="32"/>
      <c r="ED166" s="32"/>
      <c r="EE166" s="32"/>
      <c r="EF166" s="32"/>
      <c r="EG166" s="32"/>
      <c r="EH166" s="32"/>
      <c r="EI166" s="32"/>
      <c r="EJ166" s="32"/>
      <c r="EK166" s="32"/>
      <c r="EL166" s="32"/>
      <c r="EM166" s="32"/>
      <c r="EN166" s="32"/>
      <c r="EQ166" s="32"/>
      <c r="ER166" s="32"/>
    </row>
    <row r="167" spans="1:148" ht="29.25" customHeight="1" x14ac:dyDescent="0.3">
      <c r="A167" s="4">
        <v>168120</v>
      </c>
      <c r="B167" s="31"/>
      <c r="C167" s="31"/>
      <c r="D167" s="31"/>
      <c r="E167" s="31"/>
      <c r="F167" s="31"/>
      <c r="G167" s="31"/>
      <c r="H167" s="31"/>
      <c r="I167" s="31"/>
      <c r="J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3"/>
      <c r="DK167" s="32"/>
      <c r="DL167" s="32"/>
      <c r="DM167" s="32"/>
      <c r="DN167" s="32"/>
      <c r="DO167" s="32"/>
      <c r="DP167" s="32"/>
      <c r="DQ167" s="32"/>
      <c r="DR167" s="32"/>
      <c r="DS167" s="32"/>
      <c r="DT167" s="32"/>
      <c r="DU167" s="32"/>
      <c r="DV167" s="32"/>
      <c r="DW167" s="32"/>
      <c r="DX167" s="32"/>
      <c r="DY167" s="32"/>
      <c r="DZ167" s="32"/>
      <c r="EA167" s="32"/>
      <c r="EB167" s="32"/>
      <c r="EC167" s="32"/>
      <c r="ED167" s="32"/>
      <c r="EE167" s="32"/>
      <c r="EF167" s="32"/>
      <c r="EG167" s="32"/>
      <c r="EH167" s="32"/>
      <c r="EI167" s="32"/>
      <c r="EJ167" s="32"/>
      <c r="EK167" s="32"/>
      <c r="EL167" s="32"/>
      <c r="EM167" s="32"/>
      <c r="EN167" s="32"/>
      <c r="EQ167" s="32"/>
      <c r="ER167" s="32"/>
    </row>
    <row r="168" spans="1:148" ht="29.25" customHeight="1" x14ac:dyDescent="0.3">
      <c r="A168" s="4">
        <v>168166</v>
      </c>
      <c r="B168" s="31"/>
      <c r="C168" s="31"/>
      <c r="D168" s="31"/>
      <c r="E168" s="31"/>
      <c r="F168" s="31"/>
      <c r="G168" s="31"/>
      <c r="H168" s="31"/>
      <c r="I168" s="31"/>
      <c r="J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2"/>
      <c r="CA168" s="32"/>
      <c r="CB168" s="32"/>
      <c r="CC168" s="32"/>
      <c r="CD168" s="32"/>
      <c r="CE168" s="32"/>
      <c r="CF168" s="32"/>
      <c r="CG168" s="32"/>
      <c r="CH168" s="32"/>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33"/>
      <c r="DK168" s="32"/>
      <c r="DL168" s="32"/>
      <c r="DM168" s="32"/>
      <c r="DN168" s="32"/>
      <c r="DO168" s="32"/>
      <c r="DP168" s="32"/>
      <c r="DQ168" s="32"/>
      <c r="DR168" s="32"/>
      <c r="DS168" s="32"/>
      <c r="DT168" s="32"/>
      <c r="DU168" s="32"/>
      <c r="DV168" s="32"/>
      <c r="DW168" s="32"/>
      <c r="DX168" s="32"/>
      <c r="DY168" s="32"/>
      <c r="DZ168" s="32"/>
      <c r="EA168" s="32"/>
      <c r="EB168" s="32"/>
      <c r="EC168" s="32"/>
      <c r="ED168" s="32"/>
      <c r="EE168" s="32"/>
      <c r="EF168" s="32"/>
      <c r="EG168" s="32"/>
      <c r="EH168" s="32"/>
      <c r="EI168" s="32"/>
      <c r="EJ168" s="32"/>
      <c r="EK168" s="32"/>
      <c r="EL168" s="32"/>
      <c r="EM168" s="32"/>
      <c r="EN168" s="32"/>
      <c r="EQ168" s="32"/>
      <c r="ER168" s="32"/>
    </row>
    <row r="169" spans="1:148" ht="29.25" customHeight="1" x14ac:dyDescent="0.3">
      <c r="A169" s="4">
        <v>168172</v>
      </c>
      <c r="B169" s="31"/>
      <c r="C169" s="31"/>
      <c r="D169" s="31"/>
      <c r="E169" s="31"/>
      <c r="F169" s="31"/>
      <c r="G169" s="31"/>
      <c r="H169" s="31"/>
      <c r="I169" s="31"/>
      <c r="J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2"/>
      <c r="CA169" s="32"/>
      <c r="CB169" s="32"/>
      <c r="CC169" s="32"/>
      <c r="CD169" s="32"/>
      <c r="CE169" s="32"/>
      <c r="CF169" s="32"/>
      <c r="CG169" s="32"/>
      <c r="CH169" s="32"/>
      <c r="CI169" s="32"/>
      <c r="CJ169" s="32"/>
      <c r="CK169" s="32"/>
      <c r="CL169" s="32"/>
      <c r="CM169" s="32"/>
      <c r="CN169" s="32"/>
      <c r="CO169" s="32"/>
      <c r="CP169" s="32"/>
      <c r="CQ169" s="32"/>
      <c r="CR169" s="32"/>
      <c r="CS169" s="32"/>
      <c r="CT169" s="32"/>
      <c r="CU169" s="32"/>
      <c r="CV169" s="32"/>
      <c r="CW169" s="32"/>
      <c r="CX169" s="32"/>
      <c r="CY169" s="32"/>
      <c r="CZ169" s="32"/>
      <c r="DA169" s="32"/>
      <c r="DB169" s="32"/>
      <c r="DC169" s="32"/>
      <c r="DD169" s="32"/>
      <c r="DE169" s="32"/>
      <c r="DF169" s="32"/>
      <c r="DG169" s="32"/>
      <c r="DH169" s="32"/>
      <c r="DI169" s="32"/>
      <c r="DJ169" s="33"/>
      <c r="DK169" s="32"/>
      <c r="DL169" s="32"/>
      <c r="DM169" s="32"/>
      <c r="DN169" s="32"/>
      <c r="DO169" s="32"/>
      <c r="DP169" s="32"/>
      <c r="DQ169" s="32"/>
      <c r="DR169" s="32"/>
      <c r="DS169" s="32"/>
      <c r="DT169" s="32"/>
      <c r="DU169" s="32"/>
      <c r="DV169" s="32"/>
      <c r="DW169" s="32"/>
      <c r="DX169" s="32"/>
      <c r="DY169" s="32"/>
      <c r="DZ169" s="32"/>
      <c r="EA169" s="32"/>
      <c r="EB169" s="32"/>
      <c r="EC169" s="32"/>
      <c r="ED169" s="32"/>
      <c r="EE169" s="32"/>
      <c r="EF169" s="32"/>
      <c r="EG169" s="32"/>
      <c r="EH169" s="32"/>
      <c r="EI169" s="32"/>
      <c r="EJ169" s="32"/>
      <c r="EK169" s="32"/>
      <c r="EL169" s="32"/>
      <c r="EM169" s="32"/>
      <c r="EN169" s="32"/>
      <c r="EQ169" s="32"/>
      <c r="ER169" s="32"/>
    </row>
    <row r="170" spans="1:148" ht="29.25" customHeight="1" x14ac:dyDescent="0.3">
      <c r="A170" s="4">
        <v>169549</v>
      </c>
      <c r="B170" s="31"/>
      <c r="C170" s="31"/>
      <c r="D170" s="31"/>
      <c r="E170" s="31"/>
      <c r="F170" s="31"/>
      <c r="G170" s="31"/>
      <c r="H170" s="31"/>
      <c r="I170" s="31"/>
      <c r="J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2"/>
      <c r="CA170" s="32"/>
      <c r="CB170" s="32"/>
      <c r="CC170" s="32"/>
      <c r="CD170" s="32"/>
      <c r="CE170" s="32"/>
      <c r="CF170" s="32"/>
      <c r="CG170" s="32"/>
      <c r="CH170" s="32"/>
      <c r="CI170" s="32"/>
      <c r="CJ170" s="32"/>
      <c r="CK170" s="32"/>
      <c r="CL170" s="32"/>
      <c r="CM170" s="32"/>
      <c r="CN170" s="32"/>
      <c r="CO170" s="32"/>
      <c r="CP170" s="32"/>
      <c r="CQ170" s="32"/>
      <c r="CR170" s="32"/>
      <c r="CS170" s="32"/>
      <c r="CT170" s="32"/>
      <c r="CU170" s="32"/>
      <c r="CV170" s="32"/>
      <c r="CW170" s="32"/>
      <c r="CX170" s="32"/>
      <c r="CY170" s="32"/>
      <c r="CZ170" s="32"/>
      <c r="DA170" s="32"/>
      <c r="DB170" s="32"/>
      <c r="DC170" s="32"/>
      <c r="DD170" s="32"/>
      <c r="DE170" s="32"/>
      <c r="DF170" s="32"/>
      <c r="DG170" s="32"/>
      <c r="DH170" s="32"/>
      <c r="DI170" s="32"/>
      <c r="DJ170" s="33"/>
      <c r="DK170" s="32"/>
      <c r="DL170" s="32"/>
      <c r="DM170" s="32"/>
      <c r="DN170" s="32"/>
      <c r="DO170" s="32"/>
      <c r="DP170" s="32"/>
      <c r="DQ170" s="32"/>
      <c r="DR170" s="32"/>
      <c r="DS170" s="32"/>
      <c r="DT170" s="32"/>
      <c r="DU170" s="32"/>
      <c r="DV170" s="32"/>
      <c r="DW170" s="32"/>
      <c r="DX170" s="32"/>
      <c r="DY170" s="32"/>
      <c r="DZ170" s="32"/>
      <c r="EA170" s="32"/>
      <c r="EB170" s="32"/>
      <c r="EC170" s="32"/>
      <c r="ED170" s="32"/>
      <c r="EE170" s="32"/>
      <c r="EF170" s="32"/>
      <c r="EG170" s="32"/>
      <c r="EH170" s="32"/>
      <c r="EI170" s="32"/>
      <c r="EJ170" s="32"/>
      <c r="EK170" s="32"/>
      <c r="EL170" s="32"/>
      <c r="EM170" s="32"/>
      <c r="EN170" s="32"/>
      <c r="EQ170" s="32"/>
      <c r="ER170" s="32"/>
    </row>
    <row r="171" spans="1:148" ht="29.25" customHeight="1" x14ac:dyDescent="0.3">
      <c r="A171" s="4">
        <v>169580</v>
      </c>
      <c r="B171" s="31"/>
      <c r="C171" s="31"/>
      <c r="D171" s="31"/>
      <c r="E171" s="31"/>
      <c r="F171" s="31"/>
      <c r="G171" s="31"/>
      <c r="H171" s="31"/>
      <c r="I171" s="31"/>
      <c r="J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31"/>
      <c r="BU171" s="31"/>
      <c r="BV171" s="31"/>
      <c r="BW171" s="31"/>
      <c r="BX171" s="31"/>
      <c r="BY171" s="31"/>
      <c r="BZ171" s="32"/>
      <c r="CA171" s="32"/>
      <c r="CB171" s="32"/>
      <c r="CC171" s="32"/>
      <c r="CD171" s="32"/>
      <c r="CE171" s="32"/>
      <c r="CF171" s="32"/>
      <c r="CG171" s="32"/>
      <c r="CH171" s="32"/>
      <c r="CI171" s="32"/>
      <c r="CJ171" s="32"/>
      <c r="CK171" s="32"/>
      <c r="CL171" s="32"/>
      <c r="CM171" s="32"/>
      <c r="CN171" s="32"/>
      <c r="CO171" s="32"/>
      <c r="CP171" s="32"/>
      <c r="CQ171" s="32"/>
      <c r="CR171" s="32"/>
      <c r="CS171" s="32"/>
      <c r="CT171" s="32"/>
      <c r="CU171" s="32"/>
      <c r="CV171" s="32"/>
      <c r="CW171" s="32"/>
      <c r="CX171" s="32"/>
      <c r="CY171" s="32"/>
      <c r="CZ171" s="32"/>
      <c r="DA171" s="32"/>
      <c r="DB171" s="32"/>
      <c r="DC171" s="32"/>
      <c r="DD171" s="32"/>
      <c r="DE171" s="32"/>
      <c r="DF171" s="32"/>
      <c r="DG171" s="32"/>
      <c r="DH171" s="32"/>
      <c r="DI171" s="32"/>
      <c r="DJ171" s="33"/>
      <c r="DK171" s="32"/>
      <c r="DL171" s="32"/>
      <c r="DM171" s="32"/>
      <c r="DN171" s="32"/>
      <c r="DO171" s="32"/>
      <c r="DP171" s="32"/>
      <c r="DQ171" s="32"/>
      <c r="DR171" s="32"/>
      <c r="DS171" s="32"/>
      <c r="DT171" s="32"/>
      <c r="DU171" s="32"/>
      <c r="DV171" s="32"/>
      <c r="DW171" s="32"/>
      <c r="DX171" s="32"/>
      <c r="DY171" s="32"/>
      <c r="DZ171" s="32"/>
      <c r="EA171" s="32"/>
      <c r="EB171" s="32"/>
      <c r="EC171" s="32"/>
      <c r="ED171" s="32"/>
      <c r="EE171" s="32"/>
      <c r="EF171" s="32"/>
      <c r="EG171" s="32"/>
      <c r="EH171" s="32"/>
      <c r="EI171" s="32"/>
      <c r="EJ171" s="32"/>
      <c r="EK171" s="32"/>
      <c r="EL171" s="32"/>
      <c r="EM171" s="32"/>
      <c r="EN171" s="32"/>
      <c r="EQ171" s="32"/>
      <c r="ER171" s="32"/>
    </row>
    <row r="172" spans="1:148" ht="29.25" customHeight="1" x14ac:dyDescent="0.3">
      <c r="A172" s="4">
        <v>169800</v>
      </c>
      <c r="B172" s="31"/>
      <c r="C172" s="31"/>
      <c r="D172" s="31"/>
      <c r="E172" s="31"/>
      <c r="F172" s="31"/>
      <c r="G172" s="31"/>
      <c r="H172" s="31"/>
      <c r="I172" s="31"/>
      <c r="J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1"/>
      <c r="BZ172" s="32"/>
      <c r="CA172" s="32"/>
      <c r="CB172" s="32"/>
      <c r="CC172" s="32"/>
      <c r="CD172" s="32"/>
      <c r="CE172" s="32"/>
      <c r="CF172" s="32"/>
      <c r="CG172" s="32"/>
      <c r="CH172" s="32"/>
      <c r="CI172" s="32"/>
      <c r="CJ172" s="32"/>
      <c r="CK172" s="32"/>
      <c r="CL172" s="32"/>
      <c r="CM172" s="32"/>
      <c r="CN172" s="32"/>
      <c r="CO172" s="32"/>
      <c r="CP172" s="32"/>
      <c r="CQ172" s="32"/>
      <c r="CR172" s="32"/>
      <c r="CS172" s="32"/>
      <c r="CT172" s="32"/>
      <c r="CU172" s="32"/>
      <c r="CV172" s="32"/>
      <c r="CW172" s="32"/>
      <c r="CX172" s="32"/>
      <c r="CY172" s="32"/>
      <c r="CZ172" s="32"/>
      <c r="DA172" s="32"/>
      <c r="DB172" s="32"/>
      <c r="DC172" s="32"/>
      <c r="DD172" s="32"/>
      <c r="DE172" s="32"/>
      <c r="DF172" s="32"/>
      <c r="DG172" s="32"/>
      <c r="DH172" s="32"/>
      <c r="DI172" s="32"/>
      <c r="DJ172" s="33"/>
      <c r="DK172" s="32"/>
      <c r="DL172" s="32"/>
      <c r="DM172" s="32"/>
      <c r="DN172" s="32"/>
      <c r="DO172" s="32"/>
      <c r="DP172" s="32"/>
      <c r="DQ172" s="32"/>
      <c r="DR172" s="32"/>
      <c r="DS172" s="32"/>
      <c r="DT172" s="32"/>
      <c r="DU172" s="32"/>
      <c r="DV172" s="32"/>
      <c r="DW172" s="32"/>
      <c r="DX172" s="32"/>
      <c r="DY172" s="32"/>
      <c r="DZ172" s="32"/>
      <c r="EA172" s="32"/>
      <c r="EB172" s="32"/>
      <c r="EC172" s="32"/>
      <c r="ED172" s="32"/>
      <c r="EE172" s="32"/>
      <c r="EF172" s="32"/>
      <c r="EG172" s="32"/>
      <c r="EH172" s="32"/>
      <c r="EI172" s="32"/>
      <c r="EJ172" s="32"/>
      <c r="EK172" s="32"/>
      <c r="EL172" s="32"/>
      <c r="EM172" s="32"/>
      <c r="EN172" s="32"/>
      <c r="EQ172" s="32"/>
      <c r="ER172" s="32"/>
    </row>
    <row r="173" spans="1:148" ht="29.25" customHeight="1" x14ac:dyDescent="0.3">
      <c r="A173" s="12">
        <v>171314</v>
      </c>
      <c r="B173" s="31"/>
      <c r="C173" s="31"/>
      <c r="D173" s="31"/>
      <c r="E173" s="31"/>
      <c r="F173" s="31"/>
      <c r="G173" s="31"/>
      <c r="H173" s="31"/>
      <c r="I173" s="31"/>
      <c r="J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1"/>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c r="CV173" s="32"/>
      <c r="CW173" s="32"/>
      <c r="CX173" s="32"/>
      <c r="CY173" s="32"/>
      <c r="CZ173" s="32"/>
      <c r="DA173" s="32"/>
      <c r="DB173" s="32"/>
      <c r="DC173" s="32"/>
      <c r="DD173" s="32"/>
      <c r="DE173" s="32"/>
      <c r="DF173" s="32"/>
      <c r="DG173" s="32"/>
      <c r="DH173" s="32"/>
      <c r="DI173" s="32"/>
      <c r="DJ173" s="33"/>
      <c r="DK173" s="32"/>
      <c r="DL173" s="32"/>
      <c r="DM173" s="32"/>
      <c r="DN173" s="32"/>
      <c r="DO173" s="32"/>
      <c r="DP173" s="32"/>
      <c r="DQ173" s="32"/>
      <c r="DR173" s="32"/>
      <c r="DS173" s="32"/>
      <c r="DT173" s="32"/>
      <c r="DU173" s="32"/>
      <c r="DV173" s="32"/>
      <c r="DW173" s="32"/>
      <c r="DX173" s="32"/>
      <c r="DY173" s="32"/>
      <c r="DZ173" s="32"/>
      <c r="EA173" s="32"/>
      <c r="EB173" s="32"/>
      <c r="EC173" s="32"/>
      <c r="ED173" s="32"/>
      <c r="EE173" s="32"/>
      <c r="EF173" s="32"/>
      <c r="EG173" s="32"/>
      <c r="EH173" s="32"/>
      <c r="EI173" s="32"/>
      <c r="EJ173" s="32"/>
      <c r="EK173" s="32"/>
      <c r="EL173" s="32"/>
      <c r="EM173" s="32"/>
      <c r="EN173" s="32"/>
      <c r="EQ173" s="32"/>
      <c r="ER173" s="32"/>
    </row>
    <row r="174" spans="1:148" ht="29.25" customHeight="1" x14ac:dyDescent="0.3">
      <c r="A174" s="4">
        <v>171428</v>
      </c>
      <c r="B174" s="31"/>
      <c r="C174" s="31"/>
      <c r="D174" s="31"/>
      <c r="E174" s="31"/>
      <c r="F174" s="31"/>
      <c r="G174" s="31"/>
      <c r="H174" s="31"/>
      <c r="I174" s="31"/>
      <c r="J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c r="BX174" s="31"/>
      <c r="BY174" s="31"/>
      <c r="BZ174" s="32"/>
      <c r="CA174" s="32"/>
      <c r="CB174" s="32"/>
      <c r="CC174" s="32"/>
      <c r="CD174" s="32"/>
      <c r="CE174" s="32"/>
      <c r="CF174" s="32"/>
      <c r="CG174" s="32"/>
      <c r="CH174" s="32"/>
      <c r="CI174" s="32"/>
      <c r="CJ174" s="32"/>
      <c r="CK174" s="32"/>
      <c r="CL174" s="32"/>
      <c r="CM174" s="32"/>
      <c r="CN174" s="32"/>
      <c r="CO174" s="32"/>
      <c r="CP174" s="32"/>
      <c r="CQ174" s="32"/>
      <c r="CR174" s="32"/>
      <c r="CS174" s="32"/>
      <c r="CT174" s="32"/>
      <c r="CU174" s="32"/>
      <c r="CV174" s="32"/>
      <c r="CW174" s="32"/>
      <c r="CX174" s="32"/>
      <c r="CY174" s="32"/>
      <c r="CZ174" s="32"/>
      <c r="DA174" s="32"/>
      <c r="DB174" s="32"/>
      <c r="DC174" s="32"/>
      <c r="DD174" s="32"/>
      <c r="DE174" s="32"/>
      <c r="DF174" s="32"/>
      <c r="DG174" s="32"/>
      <c r="DH174" s="32"/>
      <c r="DI174" s="32"/>
      <c r="DJ174" s="33"/>
      <c r="DK174" s="32"/>
      <c r="DL174" s="32"/>
      <c r="DM174" s="32"/>
      <c r="DN174" s="32"/>
      <c r="DO174" s="32"/>
      <c r="DP174" s="32"/>
      <c r="DQ174" s="32"/>
      <c r="DR174" s="32"/>
      <c r="DS174" s="32"/>
      <c r="DT174" s="32"/>
      <c r="DU174" s="32"/>
      <c r="DV174" s="32"/>
      <c r="DW174" s="32"/>
      <c r="DX174" s="32"/>
      <c r="DY174" s="32"/>
      <c r="DZ174" s="32"/>
      <c r="EA174" s="32"/>
      <c r="EB174" s="32"/>
      <c r="EC174" s="32"/>
      <c r="ED174" s="32"/>
      <c r="EE174" s="32"/>
      <c r="EF174" s="32"/>
      <c r="EG174" s="32"/>
      <c r="EH174" s="32"/>
      <c r="EI174" s="32"/>
      <c r="EJ174" s="32"/>
      <c r="EK174" s="32"/>
      <c r="EL174" s="32"/>
      <c r="EM174" s="32"/>
      <c r="EN174" s="32"/>
      <c r="EQ174" s="32"/>
      <c r="ER174" s="32"/>
    </row>
    <row r="175" spans="1:148" ht="29.25" customHeight="1" x14ac:dyDescent="0.3">
      <c r="A175" s="4">
        <v>171785</v>
      </c>
      <c r="B175" s="31"/>
      <c r="C175" s="31"/>
      <c r="D175" s="31"/>
      <c r="E175" s="31"/>
      <c r="F175" s="31"/>
      <c r="G175" s="31"/>
      <c r="H175" s="31"/>
      <c r="I175" s="31"/>
      <c r="J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1"/>
      <c r="BZ175" s="32"/>
      <c r="CA175" s="32"/>
      <c r="CB175" s="32"/>
      <c r="CC175" s="32"/>
      <c r="CD175" s="32"/>
      <c r="CE175" s="32"/>
      <c r="CF175" s="32"/>
      <c r="CG175" s="32"/>
      <c r="CH175" s="32"/>
      <c r="CI175" s="32"/>
      <c r="CJ175" s="32"/>
      <c r="CK175" s="32"/>
      <c r="CL175" s="32"/>
      <c r="CM175" s="32"/>
      <c r="CN175" s="32"/>
      <c r="CO175" s="32"/>
      <c r="CP175" s="32"/>
      <c r="CQ175" s="32"/>
      <c r="CR175" s="32"/>
      <c r="CS175" s="32"/>
      <c r="CT175" s="32"/>
      <c r="CU175" s="32"/>
      <c r="CV175" s="32"/>
      <c r="CW175" s="32"/>
      <c r="CX175" s="32"/>
      <c r="CY175" s="32"/>
      <c r="CZ175" s="32"/>
      <c r="DA175" s="32"/>
      <c r="DB175" s="32"/>
      <c r="DC175" s="32"/>
      <c r="DD175" s="32"/>
      <c r="DE175" s="32"/>
      <c r="DF175" s="32"/>
      <c r="DG175" s="32"/>
      <c r="DH175" s="32"/>
      <c r="DI175" s="32"/>
      <c r="DJ175" s="33"/>
      <c r="DK175" s="32"/>
      <c r="DL175" s="32"/>
      <c r="DM175" s="32"/>
      <c r="DN175" s="32"/>
      <c r="DO175" s="32"/>
      <c r="DP175" s="32"/>
      <c r="DQ175" s="32"/>
      <c r="DR175" s="32"/>
      <c r="DS175" s="32"/>
      <c r="DT175" s="32"/>
      <c r="DU175" s="32"/>
      <c r="DV175" s="32"/>
      <c r="DW175" s="32"/>
      <c r="DX175" s="32"/>
      <c r="DY175" s="32"/>
      <c r="DZ175" s="32"/>
      <c r="EA175" s="32"/>
      <c r="EB175" s="32"/>
      <c r="EC175" s="32"/>
      <c r="ED175" s="32"/>
      <c r="EE175" s="32"/>
      <c r="EF175" s="32"/>
      <c r="EG175" s="32"/>
      <c r="EH175" s="32"/>
      <c r="EI175" s="32"/>
      <c r="EJ175" s="32"/>
      <c r="EK175" s="32"/>
      <c r="EL175" s="32"/>
      <c r="EM175" s="32"/>
      <c r="EN175" s="32"/>
      <c r="EQ175" s="32"/>
      <c r="ER175" s="32"/>
    </row>
    <row r="176" spans="1:148" ht="29.25" customHeight="1" x14ac:dyDescent="0.3">
      <c r="A176" s="4">
        <v>172035</v>
      </c>
      <c r="B176" s="31"/>
      <c r="C176" s="31"/>
      <c r="D176" s="31"/>
      <c r="E176" s="31"/>
      <c r="F176" s="31"/>
      <c r="G176" s="31"/>
      <c r="H176" s="31"/>
      <c r="I176" s="31"/>
      <c r="J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c r="BX176" s="31"/>
      <c r="BY176" s="31"/>
      <c r="BZ176" s="32"/>
      <c r="CA176" s="32"/>
      <c r="CB176" s="32"/>
      <c r="CC176" s="32"/>
      <c r="CD176" s="32"/>
      <c r="CE176" s="32"/>
      <c r="CF176" s="32"/>
      <c r="CG176" s="32"/>
      <c r="CH176" s="32"/>
      <c r="CI176" s="32"/>
      <c r="CJ176" s="32"/>
      <c r="CK176" s="32"/>
      <c r="CL176" s="32"/>
      <c r="CM176" s="32"/>
      <c r="CN176" s="32"/>
      <c r="CO176" s="32"/>
      <c r="CP176" s="32"/>
      <c r="CQ176" s="32"/>
      <c r="CR176" s="32"/>
      <c r="CS176" s="32"/>
      <c r="CT176" s="32"/>
      <c r="CU176" s="32"/>
      <c r="CV176" s="32"/>
      <c r="CW176" s="32"/>
      <c r="CX176" s="32"/>
      <c r="CY176" s="32"/>
      <c r="CZ176" s="32"/>
      <c r="DA176" s="32"/>
      <c r="DB176" s="32"/>
      <c r="DC176" s="32"/>
      <c r="DD176" s="32"/>
      <c r="DE176" s="32"/>
      <c r="DF176" s="32"/>
      <c r="DG176" s="32"/>
      <c r="DH176" s="32"/>
      <c r="DI176" s="32"/>
      <c r="DJ176" s="33"/>
      <c r="DK176" s="32"/>
      <c r="DL176" s="32"/>
      <c r="DM176" s="32"/>
      <c r="DN176" s="32"/>
      <c r="DO176" s="32"/>
      <c r="DP176" s="32"/>
      <c r="DQ176" s="32"/>
      <c r="DR176" s="32"/>
      <c r="DS176" s="32"/>
      <c r="DT176" s="32"/>
      <c r="DU176" s="32"/>
      <c r="DV176" s="32"/>
      <c r="DW176" s="32"/>
      <c r="DX176" s="32"/>
      <c r="DY176" s="32"/>
      <c r="DZ176" s="32"/>
      <c r="EA176" s="32"/>
      <c r="EB176" s="32"/>
      <c r="EC176" s="32"/>
      <c r="ED176" s="32"/>
      <c r="EE176" s="32"/>
      <c r="EF176" s="32"/>
      <c r="EG176" s="32"/>
      <c r="EH176" s="32"/>
      <c r="EI176" s="32"/>
      <c r="EJ176" s="32"/>
      <c r="EK176" s="32"/>
      <c r="EL176" s="32"/>
      <c r="EM176" s="32"/>
      <c r="EN176" s="32"/>
      <c r="EQ176" s="32"/>
      <c r="ER176" s="32"/>
    </row>
    <row r="177" spans="1:148" ht="29.25" customHeight="1" x14ac:dyDescent="0.3">
      <c r="A177" s="4">
        <v>172041</v>
      </c>
      <c r="B177" s="31"/>
      <c r="C177" s="31"/>
      <c r="D177" s="31"/>
      <c r="E177" s="31"/>
      <c r="F177" s="31"/>
      <c r="G177" s="31"/>
      <c r="H177" s="31"/>
      <c r="I177" s="31"/>
      <c r="J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1"/>
      <c r="BZ177" s="32"/>
      <c r="CA177" s="32"/>
      <c r="CB177" s="32"/>
      <c r="CC177" s="32"/>
      <c r="CD177" s="32"/>
      <c r="CE177" s="32"/>
      <c r="CF177" s="32"/>
      <c r="CG177" s="32"/>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2"/>
      <c r="DJ177" s="33"/>
      <c r="DK177" s="32"/>
      <c r="DL177" s="32"/>
      <c r="DM177" s="32"/>
      <c r="DN177" s="32"/>
      <c r="DO177" s="32"/>
      <c r="DP177" s="32"/>
      <c r="DQ177" s="32"/>
      <c r="DR177" s="32"/>
      <c r="DS177" s="32"/>
      <c r="DT177" s="32"/>
      <c r="DU177" s="32"/>
      <c r="DV177" s="32"/>
      <c r="DW177" s="32"/>
      <c r="DX177" s="32"/>
      <c r="DY177" s="32"/>
      <c r="DZ177" s="32"/>
      <c r="EA177" s="32"/>
      <c r="EB177" s="32"/>
      <c r="EC177" s="32"/>
      <c r="ED177" s="32"/>
      <c r="EE177" s="32"/>
      <c r="EF177" s="32"/>
      <c r="EG177" s="32"/>
      <c r="EH177" s="32"/>
      <c r="EI177" s="32"/>
      <c r="EJ177" s="32"/>
      <c r="EK177" s="32"/>
      <c r="EL177" s="32"/>
      <c r="EM177" s="32"/>
      <c r="EN177" s="32"/>
      <c r="EQ177" s="32"/>
      <c r="ER177" s="32"/>
    </row>
    <row r="178" spans="1:148" ht="29.25" customHeight="1" x14ac:dyDescent="0.3">
      <c r="A178" s="4">
        <v>172841</v>
      </c>
      <c r="B178" s="31"/>
      <c r="C178" s="31"/>
      <c r="D178" s="31"/>
      <c r="E178" s="31"/>
      <c r="F178" s="31"/>
      <c r="G178" s="31"/>
      <c r="H178" s="31"/>
      <c r="I178" s="31"/>
      <c r="J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c r="BX178" s="31"/>
      <c r="BY178" s="31"/>
      <c r="BZ178" s="32"/>
      <c r="CA178" s="32"/>
      <c r="CB178" s="32"/>
      <c r="CC178" s="32"/>
      <c r="CD178" s="32"/>
      <c r="CE178" s="32"/>
      <c r="CF178" s="32"/>
      <c r="CG178" s="32"/>
      <c r="CH178" s="32"/>
      <c r="CI178" s="32"/>
      <c r="CJ178" s="32"/>
      <c r="CK178" s="32"/>
      <c r="CL178" s="32"/>
      <c r="CM178" s="32"/>
      <c r="CN178" s="32"/>
      <c r="CO178" s="32"/>
      <c r="CP178" s="32"/>
      <c r="CQ178" s="32"/>
      <c r="CR178" s="32"/>
      <c r="CS178" s="32"/>
      <c r="CT178" s="32"/>
      <c r="CU178" s="32"/>
      <c r="CV178" s="32"/>
      <c r="CW178" s="32"/>
      <c r="CX178" s="32"/>
      <c r="CY178" s="32"/>
      <c r="CZ178" s="32"/>
      <c r="DA178" s="32"/>
      <c r="DB178" s="32"/>
      <c r="DC178" s="32"/>
      <c r="DD178" s="32"/>
      <c r="DE178" s="32"/>
      <c r="DF178" s="32"/>
      <c r="DG178" s="32"/>
      <c r="DH178" s="32"/>
      <c r="DI178" s="32"/>
      <c r="DJ178" s="33"/>
      <c r="DK178" s="32"/>
      <c r="DL178" s="32"/>
      <c r="DM178" s="32"/>
      <c r="DN178" s="32"/>
      <c r="DO178" s="32"/>
      <c r="DP178" s="32"/>
      <c r="DQ178" s="32"/>
      <c r="DR178" s="32"/>
      <c r="DS178" s="32"/>
      <c r="DT178" s="32"/>
      <c r="DU178" s="32"/>
      <c r="DV178" s="32"/>
      <c r="DW178" s="32"/>
      <c r="DX178" s="32"/>
      <c r="DY178" s="32"/>
      <c r="DZ178" s="32"/>
      <c r="EA178" s="32"/>
      <c r="EB178" s="32"/>
      <c r="EC178" s="32"/>
      <c r="ED178" s="32"/>
      <c r="EE178" s="32"/>
      <c r="EF178" s="32"/>
      <c r="EG178" s="32"/>
      <c r="EH178" s="32"/>
      <c r="EI178" s="32"/>
      <c r="EJ178" s="32"/>
      <c r="EK178" s="32"/>
      <c r="EL178" s="32"/>
      <c r="EM178" s="32"/>
      <c r="EN178" s="32"/>
      <c r="EQ178" s="32"/>
      <c r="ER178" s="32"/>
    </row>
    <row r="179" spans="1:148" ht="29.25" customHeight="1" x14ac:dyDescent="0.3">
      <c r="A179" s="4">
        <v>172992</v>
      </c>
      <c r="B179" s="31"/>
      <c r="C179" s="31"/>
      <c r="D179" s="31"/>
      <c r="E179" s="31"/>
      <c r="F179" s="31"/>
      <c r="G179" s="31"/>
      <c r="H179" s="31"/>
      <c r="I179" s="31"/>
      <c r="J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c r="BX179" s="31"/>
      <c r="BY179" s="31"/>
      <c r="BZ179" s="32"/>
      <c r="CA179" s="32"/>
      <c r="CB179" s="32"/>
      <c r="CC179" s="32"/>
      <c r="CD179" s="32"/>
      <c r="CE179" s="32"/>
      <c r="CF179" s="32"/>
      <c r="CG179" s="32"/>
      <c r="CH179" s="32"/>
      <c r="CI179" s="32"/>
      <c r="CJ179" s="32"/>
      <c r="CK179" s="32"/>
      <c r="CL179" s="32"/>
      <c r="CM179" s="32"/>
      <c r="CN179" s="32"/>
      <c r="CO179" s="32"/>
      <c r="CP179" s="32"/>
      <c r="CQ179" s="32"/>
      <c r="CR179" s="32"/>
      <c r="CS179" s="32"/>
      <c r="CT179" s="32"/>
      <c r="CU179" s="32"/>
      <c r="CV179" s="32"/>
      <c r="CW179" s="32"/>
      <c r="CX179" s="32"/>
      <c r="CY179" s="32"/>
      <c r="CZ179" s="32"/>
      <c r="DA179" s="32"/>
      <c r="DB179" s="32"/>
      <c r="DC179" s="32"/>
      <c r="DD179" s="32"/>
      <c r="DE179" s="32"/>
      <c r="DF179" s="32"/>
      <c r="DG179" s="32"/>
      <c r="DH179" s="32"/>
      <c r="DI179" s="32"/>
      <c r="DJ179" s="33"/>
      <c r="DK179" s="32"/>
      <c r="DL179" s="32"/>
      <c r="DM179" s="32"/>
      <c r="DN179" s="32"/>
      <c r="DO179" s="32"/>
      <c r="DP179" s="32"/>
      <c r="DQ179" s="32"/>
      <c r="DR179" s="32"/>
      <c r="DS179" s="32"/>
      <c r="DT179" s="32"/>
      <c r="DU179" s="32"/>
      <c r="DV179" s="32"/>
      <c r="DW179" s="32"/>
      <c r="DX179" s="32"/>
      <c r="DY179" s="32"/>
      <c r="DZ179" s="32"/>
      <c r="EA179" s="32"/>
      <c r="EB179" s="32"/>
      <c r="EC179" s="32"/>
      <c r="ED179" s="32"/>
      <c r="EE179" s="32"/>
      <c r="EF179" s="32"/>
      <c r="EG179" s="32"/>
      <c r="EH179" s="32"/>
      <c r="EI179" s="32"/>
      <c r="EJ179" s="32"/>
      <c r="EK179" s="32"/>
      <c r="EL179" s="32"/>
      <c r="EM179" s="32"/>
      <c r="EN179" s="32"/>
      <c r="EQ179" s="32"/>
      <c r="ER179" s="32"/>
    </row>
    <row r="180" spans="1:148" ht="29.25" customHeight="1" x14ac:dyDescent="0.3">
      <c r="A180" s="4">
        <v>173838</v>
      </c>
      <c r="B180" s="31"/>
      <c r="C180" s="31"/>
      <c r="D180" s="31"/>
      <c r="E180" s="31"/>
      <c r="F180" s="31"/>
      <c r="G180" s="31"/>
      <c r="H180" s="31"/>
      <c r="I180" s="31"/>
      <c r="J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c r="BX180" s="31"/>
      <c r="BY180" s="31"/>
      <c r="BZ180" s="32"/>
      <c r="CA180" s="32"/>
      <c r="CB180" s="32"/>
      <c r="CC180" s="32"/>
      <c r="CD180" s="32"/>
      <c r="CE180" s="32"/>
      <c r="CF180" s="32"/>
      <c r="CG180" s="32"/>
      <c r="CH180" s="32"/>
      <c r="CI180" s="32"/>
      <c r="CJ180" s="32"/>
      <c r="CK180" s="32"/>
      <c r="CL180" s="32"/>
      <c r="CM180" s="32"/>
      <c r="CN180" s="32"/>
      <c r="CO180" s="32"/>
      <c r="CP180" s="32"/>
      <c r="CQ180" s="32"/>
      <c r="CR180" s="32"/>
      <c r="CS180" s="32"/>
      <c r="CT180" s="32"/>
      <c r="CU180" s="32"/>
      <c r="CV180" s="32"/>
      <c r="CW180" s="32"/>
      <c r="CX180" s="32"/>
      <c r="CY180" s="32"/>
      <c r="CZ180" s="32"/>
      <c r="DA180" s="32"/>
      <c r="DB180" s="32"/>
      <c r="DC180" s="32"/>
      <c r="DD180" s="32"/>
      <c r="DE180" s="32"/>
      <c r="DF180" s="32"/>
      <c r="DG180" s="32"/>
      <c r="DH180" s="32"/>
      <c r="DI180" s="32"/>
      <c r="DJ180" s="33"/>
      <c r="DK180" s="32"/>
      <c r="DL180" s="32"/>
      <c r="DM180" s="32"/>
      <c r="DN180" s="32"/>
      <c r="DO180" s="32"/>
      <c r="DP180" s="32"/>
      <c r="DQ180" s="32"/>
      <c r="DR180" s="32"/>
      <c r="DS180" s="32"/>
      <c r="DT180" s="32"/>
      <c r="DU180" s="32"/>
      <c r="DV180" s="32"/>
      <c r="DW180" s="32"/>
      <c r="DX180" s="32"/>
      <c r="DY180" s="32"/>
      <c r="DZ180" s="32"/>
      <c r="EA180" s="32"/>
      <c r="EB180" s="32"/>
      <c r="EC180" s="32"/>
      <c r="ED180" s="32"/>
      <c r="EE180" s="32"/>
      <c r="EF180" s="32"/>
      <c r="EG180" s="32"/>
      <c r="EH180" s="32"/>
      <c r="EI180" s="32"/>
      <c r="EJ180" s="32"/>
      <c r="EK180" s="32"/>
      <c r="EL180" s="32"/>
      <c r="EM180" s="32"/>
      <c r="EN180" s="32"/>
      <c r="EQ180" s="32"/>
      <c r="ER180" s="32"/>
    </row>
    <row r="181" spans="1:148" ht="29.25" customHeight="1" x14ac:dyDescent="0.3">
      <c r="A181" s="4">
        <v>174493</v>
      </c>
      <c r="B181" s="31"/>
      <c r="C181" s="31"/>
      <c r="D181" s="31"/>
      <c r="E181" s="31"/>
      <c r="F181" s="31"/>
      <c r="G181" s="31"/>
      <c r="H181" s="31"/>
      <c r="I181" s="31"/>
      <c r="J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1"/>
      <c r="BZ181" s="32"/>
      <c r="CA181" s="32"/>
      <c r="CB181" s="32"/>
      <c r="CC181" s="32"/>
      <c r="CD181" s="32"/>
      <c r="CE181" s="32"/>
      <c r="CF181" s="32"/>
      <c r="CG181" s="32"/>
      <c r="CH181" s="32"/>
      <c r="CI181" s="32"/>
      <c r="CJ181" s="32"/>
      <c r="CK181" s="32"/>
      <c r="CL181" s="32"/>
      <c r="CM181" s="32"/>
      <c r="CN181" s="32"/>
      <c r="CO181" s="32"/>
      <c r="CP181" s="32"/>
      <c r="CQ181" s="32"/>
      <c r="CR181" s="32"/>
      <c r="CS181" s="32"/>
      <c r="CT181" s="32"/>
      <c r="CU181" s="32"/>
      <c r="CV181" s="32"/>
      <c r="CW181" s="32"/>
      <c r="CX181" s="32"/>
      <c r="CY181" s="32"/>
      <c r="CZ181" s="32"/>
      <c r="DA181" s="32"/>
      <c r="DB181" s="32"/>
      <c r="DC181" s="32"/>
      <c r="DD181" s="32"/>
      <c r="DE181" s="32"/>
      <c r="DF181" s="32"/>
      <c r="DG181" s="32"/>
      <c r="DH181" s="32"/>
      <c r="DI181" s="32"/>
      <c r="DJ181" s="33"/>
      <c r="DK181" s="32"/>
      <c r="DL181" s="32"/>
      <c r="DM181" s="32"/>
      <c r="DN181" s="32"/>
      <c r="DO181" s="32"/>
      <c r="DP181" s="32"/>
      <c r="DQ181" s="32"/>
      <c r="DR181" s="32"/>
      <c r="DS181" s="32"/>
      <c r="DT181" s="32"/>
      <c r="DU181" s="32"/>
      <c r="DV181" s="32"/>
      <c r="DW181" s="32"/>
      <c r="DX181" s="32"/>
      <c r="DY181" s="32"/>
      <c r="DZ181" s="32"/>
      <c r="EA181" s="32"/>
      <c r="EB181" s="32"/>
      <c r="EC181" s="32"/>
      <c r="ED181" s="32"/>
      <c r="EE181" s="32"/>
      <c r="EF181" s="32"/>
      <c r="EG181" s="32"/>
      <c r="EH181" s="32"/>
      <c r="EI181" s="32"/>
      <c r="EJ181" s="32"/>
      <c r="EK181" s="32"/>
      <c r="EL181" s="32"/>
      <c r="EM181" s="32"/>
      <c r="EN181" s="32"/>
      <c r="EQ181" s="32"/>
      <c r="ER181" s="32"/>
    </row>
    <row r="182" spans="1:148" ht="29.25" customHeight="1" x14ac:dyDescent="0.3">
      <c r="A182" s="4">
        <v>175873</v>
      </c>
      <c r="B182" s="31"/>
      <c r="C182" s="31"/>
      <c r="D182" s="31"/>
      <c r="E182" s="31"/>
      <c r="F182" s="31"/>
      <c r="G182" s="31"/>
      <c r="H182" s="31"/>
      <c r="I182" s="31"/>
      <c r="J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c r="BX182" s="31"/>
      <c r="BY182" s="31"/>
      <c r="BZ182" s="32"/>
      <c r="CA182" s="32"/>
      <c r="CB182" s="32"/>
      <c r="CC182" s="32"/>
      <c r="CD182" s="32"/>
      <c r="CE182" s="32"/>
      <c r="CF182" s="32"/>
      <c r="CG182" s="32"/>
      <c r="CH182" s="32"/>
      <c r="CI182" s="32"/>
      <c r="CJ182" s="32"/>
      <c r="CK182" s="32"/>
      <c r="CL182" s="32"/>
      <c r="CM182" s="32"/>
      <c r="CN182" s="32"/>
      <c r="CO182" s="32"/>
      <c r="CP182" s="32"/>
      <c r="CQ182" s="32"/>
      <c r="CR182" s="32"/>
      <c r="CS182" s="32"/>
      <c r="CT182" s="32"/>
      <c r="CU182" s="32"/>
      <c r="CV182" s="32"/>
      <c r="CW182" s="32"/>
      <c r="CX182" s="32"/>
      <c r="CY182" s="32"/>
      <c r="CZ182" s="32"/>
      <c r="DA182" s="32"/>
      <c r="DB182" s="32"/>
      <c r="DC182" s="32"/>
      <c r="DD182" s="32"/>
      <c r="DE182" s="32"/>
      <c r="DF182" s="32"/>
      <c r="DG182" s="32"/>
      <c r="DH182" s="32"/>
      <c r="DI182" s="32"/>
      <c r="DJ182" s="33"/>
      <c r="DK182" s="32"/>
      <c r="DL182" s="32"/>
      <c r="DM182" s="32"/>
      <c r="DN182" s="32"/>
      <c r="DO182" s="32"/>
      <c r="DP182" s="32"/>
      <c r="DQ182" s="32"/>
      <c r="DR182" s="32"/>
      <c r="DS182" s="32"/>
      <c r="DT182" s="32"/>
      <c r="DU182" s="32"/>
      <c r="DV182" s="32"/>
      <c r="DW182" s="32"/>
      <c r="DX182" s="32"/>
      <c r="DY182" s="32"/>
      <c r="DZ182" s="32"/>
      <c r="EA182" s="32"/>
      <c r="EB182" s="32"/>
      <c r="EC182" s="32"/>
      <c r="ED182" s="32"/>
      <c r="EE182" s="32"/>
      <c r="EF182" s="32"/>
      <c r="EG182" s="32"/>
      <c r="EH182" s="32"/>
      <c r="EI182" s="32"/>
      <c r="EJ182" s="32"/>
      <c r="EK182" s="32"/>
      <c r="EL182" s="32"/>
      <c r="EM182" s="32"/>
      <c r="EN182" s="32"/>
      <c r="EQ182" s="32"/>
      <c r="ER182" s="32"/>
    </row>
    <row r="183" spans="1:148" ht="29.25" customHeight="1" x14ac:dyDescent="0.3">
      <c r="A183" s="4">
        <v>176743</v>
      </c>
      <c r="B183" s="31"/>
      <c r="C183" s="31"/>
      <c r="D183" s="31"/>
      <c r="E183" s="31"/>
      <c r="F183" s="31"/>
      <c r="G183" s="31"/>
      <c r="H183" s="31"/>
      <c r="I183" s="31"/>
      <c r="J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1"/>
      <c r="BZ183" s="32"/>
      <c r="CA183" s="32"/>
      <c r="CB183" s="32"/>
      <c r="CC183" s="32"/>
      <c r="CD183" s="32"/>
      <c r="CE183" s="32"/>
      <c r="CF183" s="32"/>
      <c r="CG183" s="32"/>
      <c r="CH183" s="32"/>
      <c r="CI183" s="32"/>
      <c r="CJ183" s="32"/>
      <c r="CK183" s="32"/>
      <c r="CL183" s="32"/>
      <c r="CM183" s="32"/>
      <c r="CN183" s="32"/>
      <c r="CO183" s="32"/>
      <c r="CP183" s="32"/>
      <c r="CQ183" s="32"/>
      <c r="CR183" s="32"/>
      <c r="CS183" s="32"/>
      <c r="CT183" s="32"/>
      <c r="CU183" s="32"/>
      <c r="CV183" s="32"/>
      <c r="CW183" s="32"/>
      <c r="CX183" s="32"/>
      <c r="CY183" s="32"/>
      <c r="CZ183" s="32"/>
      <c r="DA183" s="32"/>
      <c r="DB183" s="32"/>
      <c r="DC183" s="32"/>
      <c r="DD183" s="32"/>
      <c r="DE183" s="32"/>
      <c r="DF183" s="32"/>
      <c r="DG183" s="32"/>
      <c r="DH183" s="32"/>
      <c r="DI183" s="32"/>
      <c r="DJ183" s="33"/>
      <c r="DK183" s="32"/>
      <c r="DL183" s="32"/>
      <c r="DM183" s="32"/>
      <c r="DN183" s="32"/>
      <c r="DO183" s="32"/>
      <c r="DP183" s="32"/>
      <c r="DQ183" s="32"/>
      <c r="DR183" s="32"/>
      <c r="DS183" s="32"/>
      <c r="DT183" s="32"/>
      <c r="DU183" s="32"/>
      <c r="DV183" s="32"/>
      <c r="DW183" s="32"/>
      <c r="DX183" s="32"/>
      <c r="DY183" s="32"/>
      <c r="DZ183" s="32"/>
      <c r="EA183" s="32"/>
      <c r="EB183" s="32"/>
      <c r="EC183" s="32"/>
      <c r="ED183" s="32"/>
      <c r="EE183" s="32"/>
      <c r="EF183" s="32"/>
      <c r="EG183" s="32"/>
      <c r="EH183" s="32"/>
      <c r="EI183" s="32"/>
      <c r="EJ183" s="32"/>
      <c r="EK183" s="32"/>
      <c r="EL183" s="32"/>
      <c r="EM183" s="32"/>
      <c r="EN183" s="32"/>
      <c r="EQ183" s="32"/>
      <c r="ER183" s="32"/>
    </row>
    <row r="184" spans="1:148" ht="29.25" customHeight="1" x14ac:dyDescent="0.3">
      <c r="A184" s="4">
        <v>177056</v>
      </c>
      <c r="B184" s="31"/>
      <c r="C184" s="31"/>
      <c r="D184" s="31"/>
      <c r="E184" s="31"/>
      <c r="F184" s="31"/>
      <c r="G184" s="31"/>
      <c r="H184" s="31"/>
      <c r="I184" s="31"/>
      <c r="J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31"/>
      <c r="BL184" s="31"/>
      <c r="BM184" s="31"/>
      <c r="BN184" s="31"/>
      <c r="BO184" s="31"/>
      <c r="BP184" s="31"/>
      <c r="BQ184" s="31"/>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2"/>
      <c r="CO184" s="31"/>
      <c r="CP184" s="31"/>
      <c r="CQ184" s="31"/>
      <c r="CR184" s="31"/>
      <c r="CS184" s="31"/>
      <c r="CT184" s="31"/>
      <c r="CU184" s="31"/>
      <c r="CX184" s="31"/>
      <c r="CY184" s="31"/>
      <c r="DF184" s="34"/>
      <c r="DH184" s="33"/>
      <c r="DI184" s="33"/>
      <c r="DJ184" s="33"/>
      <c r="DK184" s="32"/>
      <c r="DL184" s="32"/>
      <c r="DM184" s="32"/>
      <c r="DN184" s="32"/>
      <c r="DO184" s="32"/>
      <c r="DP184" s="32"/>
      <c r="DQ184" s="32"/>
      <c r="DR184" s="32"/>
      <c r="DS184" s="32"/>
      <c r="DT184" s="32"/>
      <c r="DU184" s="32"/>
      <c r="DV184" s="32"/>
      <c r="DW184" s="32"/>
      <c r="DX184" s="32"/>
      <c r="DY184" s="32"/>
      <c r="DZ184" s="32"/>
      <c r="EA184" s="32"/>
      <c r="EB184" s="32"/>
      <c r="EC184" s="32"/>
      <c r="ED184" s="32"/>
      <c r="EE184" s="32"/>
      <c r="EF184" s="32"/>
      <c r="EG184" s="32"/>
      <c r="EH184" s="32"/>
      <c r="EI184" s="32"/>
      <c r="EJ184" s="32"/>
      <c r="EK184" s="32"/>
      <c r="EL184" s="32"/>
      <c r="EM184" s="32"/>
      <c r="EN184" s="32"/>
      <c r="EQ184" s="32"/>
      <c r="ER184" s="32"/>
    </row>
    <row r="185" spans="1:148" ht="29.25" customHeight="1" x14ac:dyDescent="0.3">
      <c r="A185" s="4">
        <v>177148</v>
      </c>
      <c r="B185" s="31"/>
      <c r="C185" s="31"/>
      <c r="D185" s="31"/>
      <c r="E185" s="31"/>
      <c r="F185" s="31"/>
      <c r="G185" s="31"/>
      <c r="H185" s="31"/>
      <c r="I185" s="31"/>
      <c r="J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31"/>
      <c r="BL185" s="31"/>
      <c r="BM185" s="31"/>
      <c r="BN185" s="31"/>
      <c r="BO185" s="31"/>
      <c r="BP185" s="31"/>
      <c r="BQ185" s="31"/>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X185" s="31"/>
      <c r="CY185" s="31"/>
      <c r="DF185" s="34"/>
      <c r="DH185" s="33"/>
      <c r="DI185" s="33"/>
      <c r="DJ185" s="33"/>
      <c r="DK185" s="32"/>
      <c r="DL185" s="32"/>
      <c r="DM185" s="32"/>
      <c r="DN185" s="32"/>
      <c r="DO185" s="32"/>
      <c r="DP185" s="32"/>
      <c r="DQ185" s="32"/>
      <c r="DR185" s="32"/>
      <c r="DS185" s="32"/>
      <c r="DT185" s="32"/>
      <c r="DU185" s="32"/>
      <c r="DV185" s="32"/>
      <c r="DW185" s="32"/>
      <c r="DX185" s="32"/>
      <c r="DY185" s="32"/>
      <c r="DZ185" s="32"/>
      <c r="EA185" s="32"/>
      <c r="EB185" s="32"/>
      <c r="EC185" s="32"/>
      <c r="ED185" s="32"/>
      <c r="EE185" s="32"/>
      <c r="EF185" s="32"/>
      <c r="EG185" s="32"/>
      <c r="EH185" s="32"/>
      <c r="EI185" s="32"/>
      <c r="EJ185" s="32"/>
      <c r="EK185" s="32"/>
      <c r="EL185" s="32"/>
      <c r="EM185" s="32"/>
      <c r="EN185" s="32"/>
      <c r="EQ185" s="32"/>
      <c r="ER185" s="32"/>
    </row>
    <row r="186" spans="1:148" ht="29.25" customHeight="1" x14ac:dyDescent="0.3">
      <c r="A186" s="4">
        <v>180870</v>
      </c>
      <c r="B186" s="31"/>
      <c r="C186" s="31"/>
      <c r="D186" s="31"/>
      <c r="E186" s="31"/>
      <c r="F186" s="31"/>
      <c r="G186" s="31"/>
      <c r="H186" s="31"/>
      <c r="I186" s="31"/>
      <c r="J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c r="BK186" s="31"/>
      <c r="BL186" s="31"/>
      <c r="BM186" s="31"/>
      <c r="BN186" s="31"/>
      <c r="BO186" s="31"/>
      <c r="BP186" s="31"/>
      <c r="BQ186" s="31"/>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X186" s="31"/>
      <c r="CY186" s="31"/>
      <c r="DH186" s="33"/>
      <c r="DI186" s="33"/>
      <c r="DJ186" s="33"/>
      <c r="DK186" s="32"/>
      <c r="DL186" s="32"/>
      <c r="DM186" s="32"/>
      <c r="DN186" s="32"/>
      <c r="DO186" s="32"/>
      <c r="DP186" s="32"/>
      <c r="DQ186" s="32"/>
      <c r="DR186" s="32"/>
      <c r="DS186" s="32"/>
      <c r="DT186" s="32"/>
      <c r="DU186" s="32"/>
      <c r="DV186" s="32"/>
      <c r="DW186" s="32"/>
      <c r="DX186" s="32"/>
      <c r="DY186" s="32"/>
      <c r="DZ186" s="32"/>
      <c r="EA186" s="32"/>
      <c r="EB186" s="32"/>
      <c r="EC186" s="32"/>
      <c r="ED186" s="32"/>
      <c r="EE186" s="32"/>
      <c r="EF186" s="32"/>
      <c r="EG186" s="32"/>
      <c r="EH186" s="32"/>
      <c r="EI186" s="32"/>
      <c r="EJ186" s="32"/>
      <c r="EK186" s="32"/>
      <c r="EL186" s="32"/>
      <c r="EM186" s="32"/>
      <c r="EN186" s="32"/>
      <c r="EQ186" s="32"/>
      <c r="ER186" s="32"/>
    </row>
    <row r="187" spans="1:148" ht="29.25" customHeight="1" x14ac:dyDescent="0.3">
      <c r="A187" s="12">
        <v>181444</v>
      </c>
      <c r="B187" s="31"/>
      <c r="C187" s="31"/>
      <c r="E187" s="31"/>
      <c r="F187" s="31"/>
      <c r="G187" s="31"/>
      <c r="H187" s="31"/>
      <c r="I187" s="31"/>
      <c r="J187" s="31"/>
      <c r="M187" s="31"/>
      <c r="N187" s="31"/>
      <c r="O187" s="31"/>
      <c r="P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1"/>
      <c r="BL187" s="31"/>
      <c r="BM187" s="31"/>
      <c r="BN187" s="31"/>
      <c r="BO187" s="31"/>
      <c r="BP187" s="31"/>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X187" s="31"/>
      <c r="CY187" s="31"/>
      <c r="DH187" s="33"/>
      <c r="DI187" s="33"/>
      <c r="DJ187" s="33"/>
      <c r="DK187" s="32"/>
      <c r="DL187" s="32"/>
      <c r="DM187" s="32"/>
      <c r="DN187" s="32"/>
      <c r="DO187" s="32"/>
      <c r="DP187" s="32"/>
      <c r="DQ187" s="32"/>
      <c r="DR187" s="32"/>
      <c r="DS187" s="32"/>
      <c r="DT187" s="32"/>
      <c r="DU187" s="32"/>
      <c r="DV187" s="32"/>
      <c r="DW187" s="32"/>
      <c r="DX187" s="32"/>
      <c r="DY187" s="32"/>
      <c r="DZ187" s="32"/>
      <c r="EA187" s="32"/>
      <c r="EB187" s="32"/>
      <c r="EC187" s="32"/>
      <c r="ED187" s="32"/>
      <c r="EE187" s="32"/>
      <c r="EF187" s="32"/>
      <c r="EG187" s="32"/>
      <c r="EH187" s="32"/>
      <c r="EI187" s="32"/>
      <c r="EJ187" s="32"/>
      <c r="EK187" s="32"/>
      <c r="EL187" s="32"/>
      <c r="EM187" s="32"/>
      <c r="EN187" s="32"/>
      <c r="EQ187" s="32"/>
      <c r="ER187" s="32"/>
    </row>
    <row r="188" spans="1:148" ht="29.25" customHeight="1" x14ac:dyDescent="0.3">
      <c r="Y188" s="31"/>
      <c r="BE188" s="31"/>
      <c r="BV188" s="31"/>
      <c r="BZ188" s="31"/>
      <c r="CN188" s="31"/>
      <c r="DK188" s="32"/>
      <c r="DL188" s="32"/>
      <c r="DM188" s="32"/>
      <c r="DN188" s="32"/>
      <c r="DO188" s="32"/>
      <c r="DP188" s="32"/>
      <c r="DQ188" s="32"/>
      <c r="DR188" s="32"/>
      <c r="DS188" s="32"/>
      <c r="DT188" s="32"/>
      <c r="DU188" s="32"/>
      <c r="DV188" s="32"/>
      <c r="DW188" s="32"/>
      <c r="DX188" s="32"/>
      <c r="DY188" s="32"/>
      <c r="DZ188" s="32"/>
      <c r="EA188" s="32"/>
      <c r="EB188" s="32"/>
      <c r="EC188" s="32"/>
      <c r="ED188" s="32"/>
      <c r="EE188" s="32"/>
      <c r="EF188" s="32"/>
      <c r="EG188" s="32"/>
      <c r="EH188" s="32"/>
      <c r="EI188" s="32"/>
      <c r="EJ188" s="32"/>
      <c r="EK188" s="32"/>
      <c r="EL188" s="32"/>
      <c r="EM188" s="32"/>
      <c r="EN188" s="32"/>
      <c r="EQ188" s="32"/>
      <c r="ER188" s="32"/>
    </row>
    <row r="189" spans="1:148" ht="29.25" customHeight="1" x14ac:dyDescent="0.3">
      <c r="BV189" s="31"/>
      <c r="DK189" s="32"/>
      <c r="DL189" s="32"/>
      <c r="DM189" s="32"/>
      <c r="DN189" s="32"/>
      <c r="DO189" s="32"/>
      <c r="DP189" s="32"/>
      <c r="DQ189" s="32"/>
      <c r="DR189" s="32"/>
      <c r="DS189" s="32"/>
      <c r="DT189" s="32"/>
      <c r="DU189" s="32"/>
      <c r="DV189" s="32"/>
      <c r="DW189" s="32"/>
      <c r="DX189" s="32"/>
      <c r="DY189" s="32"/>
      <c r="DZ189" s="32"/>
      <c r="EA189" s="32"/>
      <c r="EB189" s="32"/>
      <c r="EC189" s="32"/>
      <c r="ED189" s="32"/>
      <c r="EE189" s="32"/>
      <c r="EF189" s="32"/>
      <c r="EG189" s="32"/>
      <c r="EH189" s="32"/>
      <c r="EI189" s="32"/>
      <c r="EJ189" s="32"/>
      <c r="EK189" s="32"/>
      <c r="EL189" s="32"/>
      <c r="EM189" s="32"/>
      <c r="EN189" s="32"/>
      <c r="EQ189" s="32"/>
      <c r="ER189" s="32"/>
    </row>
    <row r="190" spans="1:148" ht="29.25" customHeight="1" x14ac:dyDescent="0.3">
      <c r="DK190" s="32"/>
      <c r="DL190" s="32"/>
      <c r="DM190" s="32"/>
      <c r="DN190" s="32"/>
      <c r="DO190" s="32"/>
      <c r="DP190" s="32"/>
      <c r="DQ190" s="32"/>
      <c r="DR190" s="32"/>
      <c r="DS190" s="32"/>
      <c r="DT190" s="32"/>
      <c r="DU190" s="32"/>
      <c r="DV190" s="32"/>
      <c r="DW190" s="32"/>
      <c r="DX190" s="32"/>
      <c r="DY190" s="32"/>
      <c r="DZ190" s="32"/>
      <c r="EA190" s="32"/>
      <c r="EB190" s="32"/>
      <c r="EC190" s="32"/>
      <c r="ED190" s="32"/>
      <c r="EE190" s="32"/>
      <c r="EF190" s="32"/>
      <c r="EG190" s="32"/>
      <c r="EH190" s="32"/>
      <c r="EI190" s="32"/>
      <c r="EJ190" s="32"/>
      <c r="EK190" s="32"/>
      <c r="EL190" s="32"/>
      <c r="EM190" s="32"/>
      <c r="EN190" s="32"/>
      <c r="EQ190" s="32"/>
      <c r="ER190" s="32"/>
    </row>
    <row r="191" spans="1:148" ht="29.25" customHeight="1" x14ac:dyDescent="0.3">
      <c r="DK191" s="32"/>
      <c r="DL191" s="32"/>
      <c r="DM191" s="32"/>
      <c r="DN191" s="32"/>
      <c r="DO191" s="32"/>
      <c r="DP191" s="32"/>
      <c r="DQ191" s="32"/>
      <c r="DR191" s="32"/>
      <c r="DS191" s="32"/>
      <c r="DT191" s="32"/>
      <c r="DU191" s="32"/>
      <c r="DV191" s="32"/>
      <c r="DW191" s="32"/>
      <c r="DX191" s="32"/>
      <c r="DY191" s="32"/>
      <c r="DZ191" s="32"/>
      <c r="EA191" s="32"/>
      <c r="EB191" s="32"/>
      <c r="EC191" s="32"/>
      <c r="ED191" s="32"/>
      <c r="EE191" s="32"/>
      <c r="EF191" s="32"/>
      <c r="EG191" s="32"/>
      <c r="EH191" s="32"/>
      <c r="EI191" s="32"/>
      <c r="EJ191" s="32"/>
      <c r="EK191" s="32"/>
      <c r="EL191" s="32"/>
      <c r="EM191" s="32"/>
      <c r="EN191" s="32"/>
      <c r="EQ191" s="32"/>
      <c r="ER191" s="32"/>
    </row>
    <row r="192" spans="1:148" ht="29.25" customHeight="1" x14ac:dyDescent="0.3">
      <c r="DK192" s="32"/>
      <c r="DL192" s="32"/>
      <c r="DM192" s="32"/>
      <c r="DN192" s="32"/>
      <c r="DO192" s="32"/>
      <c r="DP192" s="32"/>
      <c r="DQ192" s="32"/>
      <c r="DR192" s="32"/>
      <c r="DS192" s="32"/>
      <c r="DT192" s="32"/>
      <c r="DU192" s="32"/>
      <c r="DV192" s="32"/>
      <c r="DW192" s="32"/>
      <c r="DX192" s="32"/>
      <c r="DY192" s="32"/>
      <c r="DZ192" s="32"/>
      <c r="EA192" s="32"/>
      <c r="EB192" s="32"/>
      <c r="EC192" s="32"/>
      <c r="ED192" s="32"/>
      <c r="EE192" s="32"/>
      <c r="EF192" s="32"/>
      <c r="EG192" s="32"/>
      <c r="EH192" s="32"/>
      <c r="EI192" s="32"/>
      <c r="EJ192" s="32"/>
      <c r="EK192" s="32"/>
      <c r="EL192" s="32"/>
      <c r="EM192" s="32"/>
      <c r="EN192" s="32"/>
      <c r="EQ192" s="32"/>
      <c r="ER192" s="32"/>
    </row>
    <row r="193" spans="107:148" ht="29.25" customHeight="1" x14ac:dyDescent="0.3">
      <c r="DC193" s="33"/>
      <c r="DD193" s="33"/>
      <c r="DE193" s="33"/>
      <c r="DH193" s="33"/>
      <c r="DI193" s="33"/>
      <c r="DJ193" s="33"/>
      <c r="DK193" s="32"/>
      <c r="DL193" s="32"/>
      <c r="DM193" s="32"/>
      <c r="DN193" s="32"/>
      <c r="DO193" s="32"/>
      <c r="DP193" s="32"/>
      <c r="DQ193" s="32"/>
      <c r="DR193" s="32"/>
      <c r="DS193" s="32"/>
      <c r="DT193" s="32"/>
      <c r="DU193" s="32"/>
      <c r="DV193" s="32"/>
      <c r="DW193" s="32"/>
      <c r="DX193" s="32"/>
      <c r="DY193" s="32"/>
      <c r="DZ193" s="32"/>
      <c r="EA193" s="32"/>
      <c r="EB193" s="32"/>
      <c r="EC193" s="32"/>
      <c r="ED193" s="32"/>
      <c r="EE193" s="32"/>
      <c r="EF193" s="32"/>
      <c r="EG193" s="32"/>
      <c r="EH193" s="32"/>
      <c r="EI193" s="32"/>
      <c r="EJ193" s="32"/>
      <c r="EK193" s="32"/>
      <c r="EL193" s="32"/>
      <c r="EM193" s="32"/>
      <c r="EN193" s="32"/>
      <c r="EQ193" s="32"/>
      <c r="ER193" s="32"/>
    </row>
    <row r="194" spans="107:148" ht="29.25" customHeight="1" x14ac:dyDescent="0.3">
      <c r="DC194" s="33"/>
      <c r="DD194" s="33"/>
      <c r="DE194" s="33"/>
      <c r="DH194" s="33"/>
      <c r="DI194" s="33"/>
      <c r="DJ194" s="33"/>
      <c r="DK194" s="32"/>
      <c r="DL194" s="32"/>
      <c r="DM194" s="32"/>
      <c r="DN194" s="32"/>
      <c r="DO194" s="32"/>
      <c r="DP194" s="32"/>
      <c r="DQ194" s="32"/>
      <c r="DR194" s="32"/>
      <c r="DS194" s="32"/>
      <c r="DT194" s="32"/>
      <c r="DU194" s="32"/>
      <c r="DV194" s="32"/>
      <c r="DW194" s="32"/>
      <c r="DX194" s="32"/>
      <c r="DY194" s="32"/>
      <c r="DZ194" s="32"/>
      <c r="EA194" s="32"/>
      <c r="EB194" s="32"/>
      <c r="EC194" s="32"/>
      <c r="ED194" s="32"/>
      <c r="EE194" s="32"/>
      <c r="EF194" s="32"/>
      <c r="EG194" s="32"/>
      <c r="EH194" s="32"/>
      <c r="EI194" s="32"/>
      <c r="EJ194" s="32"/>
      <c r="EK194" s="32"/>
      <c r="EL194" s="32"/>
      <c r="EM194" s="32"/>
      <c r="EN194" s="32"/>
      <c r="EQ194" s="32"/>
      <c r="ER194" s="32"/>
    </row>
    <row r="195" spans="107:148" ht="29.25" customHeight="1" x14ac:dyDescent="0.3">
      <c r="DC195" s="33"/>
      <c r="DD195" s="33"/>
      <c r="DE195" s="33"/>
      <c r="DH195" s="33"/>
      <c r="DI195" s="33"/>
      <c r="DJ195" s="33"/>
      <c r="DK195" s="32"/>
      <c r="DL195" s="32"/>
      <c r="DM195" s="32"/>
      <c r="DN195" s="32"/>
      <c r="DO195" s="32"/>
      <c r="DP195" s="32"/>
      <c r="DQ195" s="32"/>
      <c r="DR195" s="32"/>
      <c r="DS195" s="32"/>
      <c r="DT195" s="32"/>
      <c r="DU195" s="32"/>
      <c r="DV195" s="32"/>
      <c r="DW195" s="32"/>
      <c r="DX195" s="32"/>
      <c r="DY195" s="32"/>
      <c r="DZ195" s="32"/>
      <c r="EA195" s="32"/>
      <c r="EB195" s="32"/>
      <c r="EC195" s="32"/>
      <c r="ED195" s="32"/>
      <c r="EE195" s="32"/>
      <c r="EF195" s="32"/>
      <c r="EG195" s="32"/>
      <c r="EH195" s="32"/>
      <c r="EI195" s="32"/>
      <c r="EJ195" s="32"/>
      <c r="EK195" s="32"/>
      <c r="EL195" s="32"/>
      <c r="EM195" s="32"/>
      <c r="EN195" s="32"/>
      <c r="EQ195" s="32"/>
      <c r="ER195" s="32"/>
    </row>
    <row r="196" spans="107:148" ht="29.25" customHeight="1" x14ac:dyDescent="0.3">
      <c r="DT196" s="32"/>
      <c r="EK196" s="32"/>
    </row>
    <row r="197" spans="107:148" ht="29.25" customHeight="1" x14ac:dyDescent="0.3">
      <c r="EK197" s="32"/>
    </row>
  </sheetData>
  <sortState ref="C2:C11">
    <sortCondition ref="C2:C11"/>
  </sortState>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270"/>
  <sheetViews>
    <sheetView topLeftCell="A106" workbookViewId="0">
      <selection activeCell="C263" sqref="B111:C263"/>
    </sheetView>
  </sheetViews>
  <sheetFormatPr defaultRowHeight="14.4" x14ac:dyDescent="0.3"/>
  <cols>
    <col min="1" max="1" width="50.33203125" customWidth="1"/>
    <col min="2" max="2" width="60.5546875" customWidth="1"/>
    <col min="3" max="3" width="77.33203125" customWidth="1"/>
  </cols>
  <sheetData>
    <row r="1" spans="1:3" ht="16.2" thickBot="1" x14ac:dyDescent="0.35">
      <c r="A1" s="13" t="s">
        <v>276</v>
      </c>
      <c r="B1" s="22" t="s">
        <v>388</v>
      </c>
      <c r="C1" s="23" t="s">
        <v>389</v>
      </c>
    </row>
    <row r="2" spans="1:3" ht="15" thickBot="1" x14ac:dyDescent="0.35">
      <c r="A2" s="14" t="s">
        <v>277</v>
      </c>
      <c r="B2" s="26" t="s">
        <v>402</v>
      </c>
      <c r="C2" s="25" t="s">
        <v>403</v>
      </c>
    </row>
    <row r="3" spans="1:3" ht="15" thickBot="1" x14ac:dyDescent="0.35">
      <c r="A3" s="14" t="s">
        <v>278</v>
      </c>
      <c r="B3" s="26" t="s">
        <v>405</v>
      </c>
      <c r="C3" s="25" t="s">
        <v>406</v>
      </c>
    </row>
    <row r="4" spans="1:3" ht="15" thickBot="1" x14ac:dyDescent="0.35">
      <c r="A4" s="16" t="s">
        <v>279</v>
      </c>
      <c r="B4" s="18" t="s">
        <v>409</v>
      </c>
      <c r="C4" s="25" t="s">
        <v>410</v>
      </c>
    </row>
    <row r="5" spans="1:3" ht="60.75" customHeight="1" thickBot="1" x14ac:dyDescent="0.35">
      <c r="A5" s="14" t="s">
        <v>280</v>
      </c>
      <c r="B5" s="18" t="s">
        <v>412</v>
      </c>
      <c r="C5" s="25" t="s">
        <v>413</v>
      </c>
    </row>
    <row r="6" spans="1:3" ht="60.75" customHeight="1" thickBot="1" x14ac:dyDescent="0.35">
      <c r="A6" s="16" t="s">
        <v>281</v>
      </c>
      <c r="B6" s="18" t="s">
        <v>416</v>
      </c>
      <c r="C6" s="25" t="s">
        <v>417</v>
      </c>
    </row>
    <row r="7" spans="1:3" ht="15" thickBot="1" x14ac:dyDescent="0.35">
      <c r="A7" s="16" t="s">
        <v>282</v>
      </c>
      <c r="B7" s="18" t="s">
        <v>419</v>
      </c>
      <c r="C7" s="25" t="s">
        <v>420</v>
      </c>
    </row>
    <row r="8" spans="1:3" ht="60.75" customHeight="1" thickBot="1" x14ac:dyDescent="0.35">
      <c r="A8" s="16" t="s">
        <v>283</v>
      </c>
      <c r="B8" s="18" t="s">
        <v>422</v>
      </c>
      <c r="C8" s="25" t="s">
        <v>423</v>
      </c>
    </row>
    <row r="9" spans="1:3" ht="60.75" customHeight="1" thickBot="1" x14ac:dyDescent="0.35">
      <c r="A9" s="16" t="s">
        <v>284</v>
      </c>
      <c r="B9" s="18" t="s">
        <v>425</v>
      </c>
      <c r="C9" s="25" t="s">
        <v>426</v>
      </c>
    </row>
    <row r="10" spans="1:3" ht="15" thickBot="1" x14ac:dyDescent="0.35">
      <c r="A10" s="16" t="s">
        <v>285</v>
      </c>
      <c r="B10" s="26" t="s">
        <v>430</v>
      </c>
      <c r="C10" s="25" t="s">
        <v>431</v>
      </c>
    </row>
    <row r="11" spans="1:3" ht="45.75" customHeight="1" thickBot="1" x14ac:dyDescent="0.35">
      <c r="A11" s="14" t="s">
        <v>286</v>
      </c>
      <c r="B11" s="18" t="s">
        <v>434</v>
      </c>
      <c r="C11" s="25" t="s">
        <v>435</v>
      </c>
    </row>
    <row r="12" spans="1:3" ht="30.75" customHeight="1" thickBot="1" x14ac:dyDescent="0.35">
      <c r="A12" s="14" t="s">
        <v>287</v>
      </c>
      <c r="B12" s="26" t="s">
        <v>443</v>
      </c>
      <c r="C12" s="25" t="s">
        <v>444</v>
      </c>
    </row>
    <row r="13" spans="1:3" ht="15" thickBot="1" x14ac:dyDescent="0.35">
      <c r="A13" s="14" t="s">
        <v>288</v>
      </c>
      <c r="B13" s="26" t="s">
        <v>447</v>
      </c>
      <c r="C13" s="25" t="s">
        <v>448</v>
      </c>
    </row>
    <row r="14" spans="1:3" ht="30.75" customHeight="1" thickBot="1" x14ac:dyDescent="0.35">
      <c r="A14" s="16" t="s">
        <v>289</v>
      </c>
      <c r="B14" s="26" t="s">
        <v>450</v>
      </c>
      <c r="C14" s="25" t="s">
        <v>451</v>
      </c>
    </row>
    <row r="15" spans="1:3" ht="45.75" customHeight="1" thickBot="1" x14ac:dyDescent="0.35">
      <c r="A15" s="16" t="s">
        <v>290</v>
      </c>
      <c r="B15" s="26" t="s">
        <v>455</v>
      </c>
      <c r="C15" s="25" t="s">
        <v>456</v>
      </c>
    </row>
    <row r="16" spans="1:3" ht="15" thickBot="1" x14ac:dyDescent="0.35">
      <c r="A16" s="14" t="s">
        <v>291</v>
      </c>
      <c r="B16" s="26" t="s">
        <v>458</v>
      </c>
      <c r="C16" s="25" t="s">
        <v>459</v>
      </c>
    </row>
    <row r="17" spans="1:3" ht="60.75" customHeight="1" thickBot="1" x14ac:dyDescent="0.35">
      <c r="A17" s="16" t="s">
        <v>292</v>
      </c>
      <c r="B17" s="18" t="s">
        <v>461</v>
      </c>
      <c r="C17" s="25" t="s">
        <v>462</v>
      </c>
    </row>
    <row r="18" spans="1:3" ht="30.75" customHeight="1" thickBot="1" x14ac:dyDescent="0.35">
      <c r="A18" s="16" t="s">
        <v>293</v>
      </c>
      <c r="B18" s="18" t="s">
        <v>465</v>
      </c>
      <c r="C18" s="25" t="s">
        <v>466</v>
      </c>
    </row>
    <row r="19" spans="1:3" ht="105.75" customHeight="1" thickBot="1" x14ac:dyDescent="0.35">
      <c r="A19" s="16" t="s">
        <v>294</v>
      </c>
      <c r="B19" s="18" t="s">
        <v>469</v>
      </c>
      <c r="C19" s="25" t="s">
        <v>470</v>
      </c>
    </row>
    <row r="20" spans="1:3" ht="60.75" customHeight="1" thickBot="1" x14ac:dyDescent="0.35">
      <c r="A20" s="16" t="s">
        <v>295</v>
      </c>
      <c r="B20" s="26" t="s">
        <v>475</v>
      </c>
      <c r="C20" s="25" t="s">
        <v>476</v>
      </c>
    </row>
    <row r="21" spans="1:3" ht="30.75" customHeight="1" thickBot="1" x14ac:dyDescent="0.35">
      <c r="A21" s="16" t="s">
        <v>296</v>
      </c>
      <c r="B21" s="26" t="s">
        <v>478</v>
      </c>
      <c r="C21" s="25" t="s">
        <v>479</v>
      </c>
    </row>
    <row r="22" spans="1:3" ht="90.75" customHeight="1" thickBot="1" x14ac:dyDescent="0.35">
      <c r="A22" s="14" t="s">
        <v>297</v>
      </c>
      <c r="B22" s="18" t="s">
        <v>481</v>
      </c>
      <c r="C22" s="25" t="s">
        <v>482</v>
      </c>
    </row>
    <row r="23" spans="1:3" ht="30.75" customHeight="1" thickBot="1" x14ac:dyDescent="0.35">
      <c r="A23" s="14" t="s">
        <v>298</v>
      </c>
      <c r="B23" s="26" t="s">
        <v>485</v>
      </c>
      <c r="C23" s="25" t="s">
        <v>486</v>
      </c>
    </row>
    <row r="24" spans="1:3" ht="60.75" customHeight="1" thickBot="1" x14ac:dyDescent="0.35">
      <c r="A24" s="18" t="s">
        <v>299</v>
      </c>
      <c r="B24" s="26" t="s">
        <v>488</v>
      </c>
      <c r="C24" s="25" t="s">
        <v>489</v>
      </c>
    </row>
    <row r="25" spans="1:3" ht="15" thickBot="1" x14ac:dyDescent="0.35">
      <c r="A25" s="16" t="s">
        <v>300</v>
      </c>
      <c r="B25" s="26" t="s">
        <v>491</v>
      </c>
      <c r="C25" s="25" t="s">
        <v>492</v>
      </c>
    </row>
    <row r="26" spans="1:3" ht="45.75" customHeight="1" thickBot="1" x14ac:dyDescent="0.35">
      <c r="A26" s="14" t="s">
        <v>301</v>
      </c>
      <c r="B26" s="26" t="s">
        <v>495</v>
      </c>
      <c r="C26" s="25" t="s">
        <v>496</v>
      </c>
    </row>
    <row r="27" spans="1:3" ht="15" thickBot="1" x14ac:dyDescent="0.35">
      <c r="A27" s="16" t="s">
        <v>302</v>
      </c>
      <c r="B27" s="26" t="s">
        <v>498</v>
      </c>
      <c r="C27" s="25" t="s">
        <v>499</v>
      </c>
    </row>
    <row r="28" spans="1:3" ht="60.75" customHeight="1" thickBot="1" x14ac:dyDescent="0.35">
      <c r="A28" s="16" t="s">
        <v>303</v>
      </c>
      <c r="B28" s="26" t="s">
        <v>501</v>
      </c>
      <c r="C28" s="25" t="s">
        <v>502</v>
      </c>
    </row>
    <row r="29" spans="1:3" ht="45.75" customHeight="1" thickBot="1" x14ac:dyDescent="0.35">
      <c r="A29" s="16" t="s">
        <v>304</v>
      </c>
      <c r="B29" s="18" t="s">
        <v>509</v>
      </c>
      <c r="C29" s="25" t="s">
        <v>510</v>
      </c>
    </row>
    <row r="30" spans="1:3" ht="15" thickBot="1" x14ac:dyDescent="0.35">
      <c r="A30" s="14" t="s">
        <v>305</v>
      </c>
      <c r="B30" s="18" t="s">
        <v>513</v>
      </c>
      <c r="C30" s="25" t="s">
        <v>514</v>
      </c>
    </row>
    <row r="31" spans="1:3" ht="45.75" customHeight="1" thickBot="1" x14ac:dyDescent="0.35">
      <c r="A31" s="14" t="s">
        <v>306</v>
      </c>
      <c r="B31" s="18" t="s">
        <v>517</v>
      </c>
      <c r="C31" s="25" t="s">
        <v>518</v>
      </c>
    </row>
    <row r="32" spans="1:3" ht="30.75" customHeight="1" thickBot="1" x14ac:dyDescent="0.35">
      <c r="A32" s="14" t="s">
        <v>307</v>
      </c>
      <c r="B32" s="26" t="s">
        <v>520</v>
      </c>
      <c r="C32" s="25" t="s">
        <v>521</v>
      </c>
    </row>
    <row r="33" spans="1:3" ht="15" thickBot="1" x14ac:dyDescent="0.35">
      <c r="A33" s="14" t="s">
        <v>308</v>
      </c>
      <c r="B33" s="18" t="s">
        <v>524</v>
      </c>
      <c r="C33" s="25" t="s">
        <v>525</v>
      </c>
    </row>
    <row r="34" spans="1:3" ht="45.75" customHeight="1" thickBot="1" x14ac:dyDescent="0.35">
      <c r="A34" s="14" t="s">
        <v>309</v>
      </c>
      <c r="B34" s="26" t="s">
        <v>527</v>
      </c>
      <c r="C34" s="25" t="s">
        <v>528</v>
      </c>
    </row>
    <row r="35" spans="1:3" ht="45.75" customHeight="1" thickBot="1" x14ac:dyDescent="0.35">
      <c r="A35" s="14" t="s">
        <v>310</v>
      </c>
      <c r="B35" s="26" t="s">
        <v>530</v>
      </c>
      <c r="C35" s="25" t="s">
        <v>531</v>
      </c>
    </row>
    <row r="36" spans="1:3" ht="45.75" customHeight="1" thickBot="1" x14ac:dyDescent="0.35">
      <c r="A36" s="14" t="s">
        <v>311</v>
      </c>
      <c r="B36" s="26" t="s">
        <v>533</v>
      </c>
      <c r="C36" s="25" t="s">
        <v>534</v>
      </c>
    </row>
    <row r="37" spans="1:3" ht="60.75" customHeight="1" thickBot="1" x14ac:dyDescent="0.35">
      <c r="A37" s="14" t="s">
        <v>312</v>
      </c>
      <c r="B37" s="18" t="s">
        <v>536</v>
      </c>
      <c r="C37" s="25" t="s">
        <v>537</v>
      </c>
    </row>
    <row r="38" spans="1:3" ht="30.75" customHeight="1" thickBot="1" x14ac:dyDescent="0.35">
      <c r="A38" s="14" t="s">
        <v>313</v>
      </c>
      <c r="B38" s="18" t="s">
        <v>539</v>
      </c>
      <c r="C38" s="25" t="s">
        <v>540</v>
      </c>
    </row>
    <row r="39" spans="1:3" ht="45.75" customHeight="1" thickBot="1" x14ac:dyDescent="0.35">
      <c r="A39" s="14" t="s">
        <v>314</v>
      </c>
      <c r="B39" s="18" t="s">
        <v>542</v>
      </c>
      <c r="C39" s="25" t="s">
        <v>543</v>
      </c>
    </row>
    <row r="40" spans="1:3" ht="45.75" customHeight="1" thickBot="1" x14ac:dyDescent="0.35">
      <c r="A40" s="14" t="s">
        <v>315</v>
      </c>
      <c r="B40" s="18" t="s">
        <v>545</v>
      </c>
      <c r="C40" s="25" t="s">
        <v>546</v>
      </c>
    </row>
    <row r="41" spans="1:3" ht="15" thickBot="1" x14ac:dyDescent="0.35">
      <c r="A41" s="14" t="s">
        <v>316</v>
      </c>
      <c r="B41" s="18" t="s">
        <v>548</v>
      </c>
      <c r="C41" s="25" t="s">
        <v>549</v>
      </c>
    </row>
    <row r="42" spans="1:3" ht="75.75" customHeight="1" thickBot="1" x14ac:dyDescent="0.35">
      <c r="A42" s="14" t="s">
        <v>317</v>
      </c>
      <c r="B42" s="18" t="s">
        <v>552</v>
      </c>
      <c r="C42" s="25" t="s">
        <v>553</v>
      </c>
    </row>
    <row r="43" spans="1:3" ht="15" thickBot="1" x14ac:dyDescent="0.35">
      <c r="A43" s="14" t="s">
        <v>318</v>
      </c>
      <c r="B43" s="18" t="s">
        <v>555</v>
      </c>
      <c r="C43" s="25" t="s">
        <v>556</v>
      </c>
    </row>
    <row r="44" spans="1:3" ht="60.75" customHeight="1" thickBot="1" x14ac:dyDescent="0.35">
      <c r="A44" s="14" t="s">
        <v>319</v>
      </c>
      <c r="B44" s="18" t="s">
        <v>558</v>
      </c>
      <c r="C44" s="25" t="s">
        <v>559</v>
      </c>
    </row>
    <row r="45" spans="1:3" ht="60.75" customHeight="1" thickBot="1" x14ac:dyDescent="0.35">
      <c r="A45" s="14" t="s">
        <v>320</v>
      </c>
      <c r="B45" s="18" t="s">
        <v>562</v>
      </c>
      <c r="C45" s="25" t="s">
        <v>563</v>
      </c>
    </row>
    <row r="46" spans="1:3" ht="60.75" customHeight="1" thickBot="1" x14ac:dyDescent="0.35">
      <c r="A46" s="14" t="s">
        <v>321</v>
      </c>
      <c r="B46" s="18" t="s">
        <v>568</v>
      </c>
      <c r="C46" s="25" t="s">
        <v>569</v>
      </c>
    </row>
    <row r="47" spans="1:3" ht="30.75" customHeight="1" thickBot="1" x14ac:dyDescent="0.35">
      <c r="A47" s="14" t="s">
        <v>322</v>
      </c>
      <c r="B47" s="18" t="s">
        <v>565</v>
      </c>
      <c r="C47" s="25" t="s">
        <v>566</v>
      </c>
    </row>
    <row r="48" spans="1:3" ht="75.75" customHeight="1" thickBot="1" x14ac:dyDescent="0.35">
      <c r="A48" s="14" t="s">
        <v>323</v>
      </c>
      <c r="B48" s="18" t="s">
        <v>571</v>
      </c>
      <c r="C48" s="25" t="s">
        <v>572</v>
      </c>
    </row>
    <row r="49" spans="1:3" ht="15" thickBot="1" x14ac:dyDescent="0.35">
      <c r="A49" s="14" t="s">
        <v>324</v>
      </c>
      <c r="B49" s="18" t="s">
        <v>574</v>
      </c>
      <c r="C49" s="25" t="s">
        <v>575</v>
      </c>
    </row>
    <row r="50" spans="1:3" ht="60.75" customHeight="1" thickBot="1" x14ac:dyDescent="0.35">
      <c r="A50" s="14" t="s">
        <v>325</v>
      </c>
      <c r="B50" s="18" t="s">
        <v>577</v>
      </c>
      <c r="C50" s="25" t="s">
        <v>578</v>
      </c>
    </row>
    <row r="51" spans="1:3" ht="15" thickBot="1" x14ac:dyDescent="0.35">
      <c r="A51" s="14" t="s">
        <v>326</v>
      </c>
      <c r="B51" s="18" t="s">
        <v>581</v>
      </c>
      <c r="C51" s="25" t="s">
        <v>582</v>
      </c>
    </row>
    <row r="52" spans="1:3" ht="75.75" customHeight="1" thickBot="1" x14ac:dyDescent="0.35">
      <c r="A52" s="14" t="s">
        <v>327</v>
      </c>
      <c r="B52" s="18" t="s">
        <v>584</v>
      </c>
      <c r="C52" s="25" t="s">
        <v>585</v>
      </c>
    </row>
    <row r="53" spans="1:3" ht="15" thickBot="1" x14ac:dyDescent="0.35">
      <c r="A53" s="14" t="s">
        <v>328</v>
      </c>
      <c r="B53" s="18" t="s">
        <v>587</v>
      </c>
      <c r="C53" s="25" t="s">
        <v>588</v>
      </c>
    </row>
    <row r="54" spans="1:3" ht="45.75" customHeight="1" thickBot="1" x14ac:dyDescent="0.35">
      <c r="A54" s="14" t="s">
        <v>329</v>
      </c>
      <c r="B54" s="18" t="s">
        <v>391</v>
      </c>
      <c r="C54" s="25" t="s">
        <v>392</v>
      </c>
    </row>
    <row r="55" spans="1:3" ht="15" thickBot="1" x14ac:dyDescent="0.35">
      <c r="A55" s="14" t="s">
        <v>330</v>
      </c>
      <c r="B55" s="18" t="s">
        <v>395</v>
      </c>
      <c r="C55" s="25" t="s">
        <v>396</v>
      </c>
    </row>
    <row r="56" spans="1:3" ht="60.75" customHeight="1" thickBot="1" x14ac:dyDescent="0.35">
      <c r="A56" s="14" t="s">
        <v>331</v>
      </c>
      <c r="B56" s="18" t="s">
        <v>590</v>
      </c>
      <c r="C56" s="25" t="s">
        <v>591</v>
      </c>
    </row>
    <row r="57" spans="1:3" ht="60.75" customHeight="1" thickBot="1" x14ac:dyDescent="0.35">
      <c r="A57" s="14" t="s">
        <v>332</v>
      </c>
      <c r="B57" s="18" t="s">
        <v>593</v>
      </c>
      <c r="C57" s="25" t="s">
        <v>594</v>
      </c>
    </row>
    <row r="58" spans="1:3" ht="60.75" customHeight="1" thickBot="1" x14ac:dyDescent="0.35">
      <c r="A58" s="14" t="s">
        <v>333</v>
      </c>
      <c r="B58" s="18" t="s">
        <v>596</v>
      </c>
      <c r="C58" s="25" t="s">
        <v>597</v>
      </c>
    </row>
    <row r="59" spans="1:3" ht="15" thickBot="1" x14ac:dyDescent="0.35">
      <c r="A59" s="14" t="s">
        <v>334</v>
      </c>
      <c r="B59" s="18" t="s">
        <v>599</v>
      </c>
      <c r="C59" s="25" t="s">
        <v>600</v>
      </c>
    </row>
    <row r="60" spans="1:3" ht="60.75" customHeight="1" thickBot="1" x14ac:dyDescent="0.35">
      <c r="A60" s="14" t="s">
        <v>335</v>
      </c>
      <c r="B60" s="18" t="s">
        <v>602</v>
      </c>
      <c r="C60" s="25" t="s">
        <v>603</v>
      </c>
    </row>
    <row r="61" spans="1:3" ht="15" thickBot="1" x14ac:dyDescent="0.35">
      <c r="A61" s="14" t="s">
        <v>336</v>
      </c>
      <c r="B61" s="18" t="s">
        <v>605</v>
      </c>
      <c r="C61" s="25" t="s">
        <v>606</v>
      </c>
    </row>
    <row r="62" spans="1:3" ht="60.75" customHeight="1" thickBot="1" x14ac:dyDescent="0.35">
      <c r="A62" s="14" t="s">
        <v>337</v>
      </c>
      <c r="B62" s="18" t="s">
        <v>608</v>
      </c>
      <c r="C62" s="25" t="s">
        <v>609</v>
      </c>
    </row>
    <row r="63" spans="1:3" ht="15" thickBot="1" x14ac:dyDescent="0.35">
      <c r="A63" s="14" t="s">
        <v>338</v>
      </c>
      <c r="B63" s="18" t="s">
        <v>611</v>
      </c>
      <c r="C63" s="25" t="s">
        <v>612</v>
      </c>
    </row>
    <row r="64" spans="1:3" ht="90.75" customHeight="1" thickBot="1" x14ac:dyDescent="0.35">
      <c r="A64" s="14" t="s">
        <v>339</v>
      </c>
      <c r="B64" s="18" t="s">
        <v>614</v>
      </c>
      <c r="C64" s="25" t="s">
        <v>615</v>
      </c>
    </row>
    <row r="65" spans="1:3" ht="15" thickBot="1" x14ac:dyDescent="0.35">
      <c r="A65" s="14" t="s">
        <v>340</v>
      </c>
      <c r="B65" s="18" t="s">
        <v>617</v>
      </c>
      <c r="C65" s="25" t="s">
        <v>618</v>
      </c>
    </row>
    <row r="66" spans="1:3" ht="60.75" customHeight="1" thickBot="1" x14ac:dyDescent="0.35">
      <c r="A66" s="14" t="s">
        <v>341</v>
      </c>
      <c r="B66" s="18" t="s">
        <v>620</v>
      </c>
      <c r="C66" s="25" t="s">
        <v>621</v>
      </c>
    </row>
    <row r="67" spans="1:3" ht="15" thickBot="1" x14ac:dyDescent="0.35">
      <c r="A67" s="14" t="s">
        <v>342</v>
      </c>
      <c r="B67" s="18" t="s">
        <v>623</v>
      </c>
      <c r="C67" s="25" t="s">
        <v>624</v>
      </c>
    </row>
    <row r="68" spans="1:3" ht="60.75" customHeight="1" thickBot="1" x14ac:dyDescent="0.35">
      <c r="A68" s="14" t="s">
        <v>343</v>
      </c>
      <c r="B68" s="18" t="s">
        <v>627</v>
      </c>
      <c r="C68" s="25" t="s">
        <v>628</v>
      </c>
    </row>
    <row r="69" spans="1:3" ht="15" thickBot="1" x14ac:dyDescent="0.35">
      <c r="A69" s="14" t="s">
        <v>344</v>
      </c>
      <c r="B69" s="18" t="s">
        <v>630</v>
      </c>
      <c r="C69" s="25" t="s">
        <v>631</v>
      </c>
    </row>
    <row r="70" spans="1:3" ht="60.75" customHeight="1" thickBot="1" x14ac:dyDescent="0.35">
      <c r="A70" s="14" t="s">
        <v>345</v>
      </c>
      <c r="B70" s="18" t="s">
        <v>633</v>
      </c>
      <c r="C70" s="25" t="s">
        <v>634</v>
      </c>
    </row>
    <row r="71" spans="1:3" ht="45.75" customHeight="1" thickBot="1" x14ac:dyDescent="0.35">
      <c r="A71" s="14" t="s">
        <v>346</v>
      </c>
      <c r="B71" s="18" t="s">
        <v>636</v>
      </c>
      <c r="C71" s="25" t="s">
        <v>637</v>
      </c>
    </row>
    <row r="72" spans="1:3" ht="15" thickBot="1" x14ac:dyDescent="0.35">
      <c r="A72" s="14" t="s">
        <v>347</v>
      </c>
      <c r="B72" s="18" t="s">
        <v>639</v>
      </c>
      <c r="C72" s="25" t="s">
        <v>640</v>
      </c>
    </row>
    <row r="73" spans="1:3" ht="75.75" customHeight="1" thickBot="1" x14ac:dyDescent="0.35">
      <c r="A73" s="14" t="s">
        <v>348</v>
      </c>
      <c r="B73" s="18" t="s">
        <v>643</v>
      </c>
      <c r="C73" s="25" t="s">
        <v>644</v>
      </c>
    </row>
    <row r="74" spans="1:3" ht="15" thickBot="1" x14ac:dyDescent="0.35">
      <c r="A74" s="14" t="s">
        <v>349</v>
      </c>
      <c r="B74" s="18" t="s">
        <v>646</v>
      </c>
      <c r="C74" s="25" t="s">
        <v>647</v>
      </c>
    </row>
    <row r="75" spans="1:3" ht="45.75" customHeight="1" thickBot="1" x14ac:dyDescent="0.35">
      <c r="A75" s="14" t="s">
        <v>350</v>
      </c>
      <c r="B75" s="18" t="s">
        <v>650</v>
      </c>
      <c r="C75" s="25" t="s">
        <v>651</v>
      </c>
    </row>
    <row r="76" spans="1:3" ht="15" thickBot="1" x14ac:dyDescent="0.35">
      <c r="A76" s="14" t="s">
        <v>351</v>
      </c>
      <c r="B76" s="18" t="s">
        <v>654</v>
      </c>
      <c r="C76" s="25" t="s">
        <v>655</v>
      </c>
    </row>
    <row r="77" spans="1:3" ht="60.75" customHeight="1" thickBot="1" x14ac:dyDescent="0.35">
      <c r="A77" s="14" t="s">
        <v>352</v>
      </c>
      <c r="B77" s="18" t="s">
        <v>658</v>
      </c>
      <c r="C77" s="25" t="s">
        <v>659</v>
      </c>
    </row>
    <row r="78" spans="1:3" ht="60.75" customHeight="1" thickBot="1" x14ac:dyDescent="0.35">
      <c r="A78" s="14" t="s">
        <v>353</v>
      </c>
      <c r="B78" s="18" t="s">
        <v>661</v>
      </c>
      <c r="C78" s="25" t="s">
        <v>662</v>
      </c>
    </row>
    <row r="79" spans="1:3" ht="60.75" customHeight="1" thickBot="1" x14ac:dyDescent="0.35">
      <c r="A79" s="14" t="s">
        <v>354</v>
      </c>
      <c r="B79" s="18" t="s">
        <v>665</v>
      </c>
      <c r="C79" s="25" t="s">
        <v>666</v>
      </c>
    </row>
    <row r="80" spans="1:3" ht="15" thickBot="1" x14ac:dyDescent="0.35">
      <c r="A80" s="14" t="s">
        <v>355</v>
      </c>
      <c r="B80" s="18" t="s">
        <v>670</v>
      </c>
      <c r="C80" s="25" t="s">
        <v>671</v>
      </c>
    </row>
    <row r="81" spans="1:3" ht="75.75" customHeight="1" thickBot="1" x14ac:dyDescent="0.35">
      <c r="A81" s="14" t="s">
        <v>356</v>
      </c>
      <c r="B81" s="18" t="s">
        <v>674</v>
      </c>
      <c r="C81" s="25" t="s">
        <v>675</v>
      </c>
    </row>
    <row r="82" spans="1:3" ht="15" thickBot="1" x14ac:dyDescent="0.35">
      <c r="A82" s="14" t="s">
        <v>357</v>
      </c>
      <c r="B82" s="18" t="s">
        <v>677</v>
      </c>
      <c r="C82" s="25" t="s">
        <v>678</v>
      </c>
    </row>
    <row r="83" spans="1:3" ht="90.75" customHeight="1" thickBot="1" x14ac:dyDescent="0.35">
      <c r="A83" s="14" t="s">
        <v>358</v>
      </c>
      <c r="B83" s="18" t="s">
        <v>680</v>
      </c>
      <c r="C83" s="25" t="s">
        <v>681</v>
      </c>
    </row>
    <row r="84" spans="1:3" ht="15" thickBot="1" x14ac:dyDescent="0.35">
      <c r="A84" s="14" t="s">
        <v>359</v>
      </c>
      <c r="B84" s="18" t="s">
        <v>682</v>
      </c>
      <c r="C84" s="25" t="s">
        <v>683</v>
      </c>
    </row>
    <row r="85" spans="1:3" ht="90.75" customHeight="1" thickBot="1" x14ac:dyDescent="0.35">
      <c r="A85" s="14" t="s">
        <v>360</v>
      </c>
      <c r="B85" s="18" t="s">
        <v>687</v>
      </c>
      <c r="C85" s="25" t="s">
        <v>688</v>
      </c>
    </row>
    <row r="86" spans="1:3" ht="15" thickBot="1" x14ac:dyDescent="0.35">
      <c r="A86" s="14" t="s">
        <v>361</v>
      </c>
      <c r="B86" s="18" t="s">
        <v>690</v>
      </c>
      <c r="C86" s="25" t="s">
        <v>691</v>
      </c>
    </row>
    <row r="87" spans="1:3" ht="75.75" customHeight="1" thickBot="1" x14ac:dyDescent="0.35">
      <c r="A87" s="14" t="s">
        <v>362</v>
      </c>
      <c r="B87" s="18" t="s">
        <v>693</v>
      </c>
      <c r="C87" s="25" t="s">
        <v>694</v>
      </c>
    </row>
    <row r="88" spans="1:3" ht="75.75" customHeight="1" thickBot="1" x14ac:dyDescent="0.35">
      <c r="A88" s="14" t="s">
        <v>363</v>
      </c>
      <c r="B88" s="18" t="s">
        <v>696</v>
      </c>
      <c r="C88" s="25" t="s">
        <v>697</v>
      </c>
    </row>
    <row r="89" spans="1:3" ht="30.75" customHeight="1" thickBot="1" x14ac:dyDescent="0.35">
      <c r="A89" s="14" t="s">
        <v>364</v>
      </c>
      <c r="B89" s="18" t="s">
        <v>699</v>
      </c>
      <c r="C89" s="25" t="s">
        <v>700</v>
      </c>
    </row>
    <row r="90" spans="1:3" ht="45.75" customHeight="1" thickBot="1" x14ac:dyDescent="0.35">
      <c r="A90" s="14" t="s">
        <v>365</v>
      </c>
      <c r="B90" s="18" t="s">
        <v>702</v>
      </c>
      <c r="C90" s="25" t="s">
        <v>703</v>
      </c>
    </row>
    <row r="91" spans="1:3" ht="30.75" customHeight="1" thickBot="1" x14ac:dyDescent="0.35">
      <c r="A91" s="14" t="s">
        <v>366</v>
      </c>
      <c r="B91" s="18" t="s">
        <v>706</v>
      </c>
      <c r="C91" s="25" t="s">
        <v>707</v>
      </c>
    </row>
    <row r="92" spans="1:3" ht="45.75" customHeight="1" thickBot="1" x14ac:dyDescent="0.35">
      <c r="A92" s="14" t="s">
        <v>367</v>
      </c>
      <c r="B92" s="18" t="s">
        <v>709</v>
      </c>
      <c r="C92" s="25" t="s">
        <v>710</v>
      </c>
    </row>
    <row r="93" spans="1:3" ht="30.75" customHeight="1" thickBot="1" x14ac:dyDescent="0.35">
      <c r="A93" s="14" t="s">
        <v>368</v>
      </c>
      <c r="B93" s="26" t="s">
        <v>399</v>
      </c>
      <c r="C93" s="25" t="s">
        <v>400</v>
      </c>
    </row>
    <row r="94" spans="1:3" ht="75.75" customHeight="1" thickBot="1" x14ac:dyDescent="0.35">
      <c r="A94" s="14" t="s">
        <v>369</v>
      </c>
      <c r="B94" s="18" t="s">
        <v>713</v>
      </c>
      <c r="C94" s="25" t="s">
        <v>714</v>
      </c>
    </row>
    <row r="95" spans="1:3" ht="30.75" customHeight="1" thickBot="1" x14ac:dyDescent="0.35">
      <c r="A95" s="14" t="s">
        <v>370</v>
      </c>
      <c r="B95" s="18" t="s">
        <v>716</v>
      </c>
      <c r="C95" s="25" t="s">
        <v>717</v>
      </c>
    </row>
    <row r="96" spans="1:3" ht="60.75" customHeight="1" thickBot="1" x14ac:dyDescent="0.35">
      <c r="A96" s="14" t="s">
        <v>371</v>
      </c>
      <c r="B96" s="18" t="s">
        <v>719</v>
      </c>
      <c r="C96" s="25" t="s">
        <v>720</v>
      </c>
    </row>
    <row r="97" spans="1:3" ht="30.75" customHeight="1" thickBot="1" x14ac:dyDescent="0.35">
      <c r="A97" s="14" t="s">
        <v>372</v>
      </c>
      <c r="B97" s="18" t="s">
        <v>722</v>
      </c>
      <c r="C97" s="25" t="s">
        <v>723</v>
      </c>
    </row>
    <row r="98" spans="1:3" ht="30.75" customHeight="1" thickBot="1" x14ac:dyDescent="0.35">
      <c r="A98" s="14" t="s">
        <v>373</v>
      </c>
      <c r="B98" s="18" t="s">
        <v>726</v>
      </c>
      <c r="C98" s="25" t="s">
        <v>727</v>
      </c>
    </row>
    <row r="99" spans="1:3" ht="30.75" customHeight="1" thickBot="1" x14ac:dyDescent="0.35">
      <c r="A99" s="14" t="s">
        <v>374</v>
      </c>
      <c r="B99" s="18" t="s">
        <v>730</v>
      </c>
      <c r="C99" s="25" t="s">
        <v>731</v>
      </c>
    </row>
    <row r="100" spans="1:3" ht="45.75" customHeight="1" thickBot="1" x14ac:dyDescent="0.35">
      <c r="A100" s="14" t="s">
        <v>375</v>
      </c>
      <c r="B100" s="18" t="s">
        <v>734</v>
      </c>
      <c r="C100" s="25" t="s">
        <v>735</v>
      </c>
    </row>
    <row r="101" spans="1:3" ht="30.75" customHeight="1" thickBot="1" x14ac:dyDescent="0.35">
      <c r="B101" s="18" t="s">
        <v>741</v>
      </c>
      <c r="C101" s="25" t="s">
        <v>742</v>
      </c>
    </row>
    <row r="102" spans="1:3" ht="45.75" customHeight="1" thickBot="1" x14ac:dyDescent="0.35">
      <c r="B102" s="18" t="s">
        <v>747</v>
      </c>
      <c r="C102" s="25" t="s">
        <v>748</v>
      </c>
    </row>
    <row r="103" spans="1:3" ht="30.75" customHeight="1" thickBot="1" x14ac:dyDescent="0.35">
      <c r="B103" s="18" t="s">
        <v>750</v>
      </c>
      <c r="C103" s="25" t="s">
        <v>751</v>
      </c>
    </row>
    <row r="104" spans="1:3" ht="15" thickBot="1" x14ac:dyDescent="0.35">
      <c r="B104" s="18" t="s">
        <v>755</v>
      </c>
      <c r="C104" s="25" t="s">
        <v>756</v>
      </c>
    </row>
    <row r="105" spans="1:3" ht="30.75" customHeight="1" thickBot="1" x14ac:dyDescent="0.35">
      <c r="B105" s="18" t="s">
        <v>758</v>
      </c>
      <c r="C105" s="25" t="s">
        <v>759</v>
      </c>
    </row>
    <row r="106" spans="1:3" ht="15" thickBot="1" x14ac:dyDescent="0.35">
      <c r="B106" s="18" t="s">
        <v>761</v>
      </c>
      <c r="C106" s="25" t="s">
        <v>762</v>
      </c>
    </row>
    <row r="107" spans="1:3" ht="15" thickBot="1" x14ac:dyDescent="0.35">
      <c r="B107" s="18" t="s">
        <v>766</v>
      </c>
      <c r="C107" s="25" t="s">
        <v>767</v>
      </c>
    </row>
    <row r="108" spans="1:3" ht="30.75" customHeight="1" thickBot="1" x14ac:dyDescent="0.35">
      <c r="B108" s="18" t="s">
        <v>775</v>
      </c>
      <c r="C108" s="25" t="s">
        <v>776</v>
      </c>
    </row>
    <row r="109" spans="1:3" ht="15" thickBot="1" x14ac:dyDescent="0.35">
      <c r="B109" s="18" t="s">
        <v>781</v>
      </c>
      <c r="C109" s="25" t="s">
        <v>782</v>
      </c>
    </row>
    <row r="110" spans="1:3" ht="30.75" customHeight="1" thickBot="1" x14ac:dyDescent="0.35">
      <c r="B110" s="18" t="s">
        <v>785</v>
      </c>
      <c r="C110" s="25" t="s">
        <v>786</v>
      </c>
    </row>
    <row r="111" spans="1:3" ht="15" thickBot="1" x14ac:dyDescent="0.35">
      <c r="B111" s="21" t="s">
        <v>193</v>
      </c>
      <c r="C111" s="24" t="s">
        <v>547</v>
      </c>
    </row>
    <row r="112" spans="1:3" ht="30.75" customHeight="1" thickBot="1" x14ac:dyDescent="0.35">
      <c r="B112" s="21" t="s">
        <v>183</v>
      </c>
      <c r="C112" s="24" t="s">
        <v>522</v>
      </c>
    </row>
    <row r="113" spans="2:3" ht="29.4" thickBot="1" x14ac:dyDescent="0.35">
      <c r="B113" s="21" t="s">
        <v>511</v>
      </c>
      <c r="C113" s="24" t="s">
        <v>512</v>
      </c>
    </row>
    <row r="114" spans="2:3" ht="30.75" customHeight="1" thickBot="1" x14ac:dyDescent="0.35">
      <c r="B114" s="21" t="s">
        <v>515</v>
      </c>
      <c r="C114" s="24" t="s">
        <v>516</v>
      </c>
    </row>
    <row r="115" spans="2:3" ht="60.75" customHeight="1" thickBot="1" x14ac:dyDescent="0.35">
      <c r="B115" s="21" t="s">
        <v>184</v>
      </c>
      <c r="C115" s="24" t="s">
        <v>519</v>
      </c>
    </row>
    <row r="116" spans="2:3" ht="30.75" customHeight="1" thickBot="1" x14ac:dyDescent="0.35">
      <c r="B116" s="21" t="s">
        <v>185</v>
      </c>
      <c r="C116" s="24" t="s">
        <v>523</v>
      </c>
    </row>
    <row r="117" spans="2:3" ht="60.75" customHeight="1" thickBot="1" x14ac:dyDescent="0.35">
      <c r="B117" s="15" t="s">
        <v>188</v>
      </c>
      <c r="C117" s="24" t="s">
        <v>532</v>
      </c>
    </row>
    <row r="118" spans="2:3" ht="30.75" customHeight="1" thickBot="1" x14ac:dyDescent="0.35">
      <c r="B118" s="21" t="s">
        <v>180</v>
      </c>
      <c r="C118" s="24" t="s">
        <v>487</v>
      </c>
    </row>
    <row r="119" spans="2:3" ht="60.75" customHeight="1" thickBot="1" x14ac:dyDescent="0.35">
      <c r="B119" s="21" t="s">
        <v>178</v>
      </c>
      <c r="C119" s="24" t="s">
        <v>477</v>
      </c>
    </row>
    <row r="120" spans="2:3" ht="30.75" customHeight="1" thickBot="1" x14ac:dyDescent="0.35">
      <c r="B120" s="21" t="s">
        <v>483</v>
      </c>
      <c r="C120" s="24" t="s">
        <v>484</v>
      </c>
    </row>
    <row r="121" spans="2:3" ht="60.75" customHeight="1" thickBot="1" x14ac:dyDescent="0.35">
      <c r="B121" s="21" t="s">
        <v>179</v>
      </c>
      <c r="C121" s="24" t="s">
        <v>480</v>
      </c>
    </row>
    <row r="122" spans="2:3" ht="29.4" thickBot="1" x14ac:dyDescent="0.35">
      <c r="B122" s="21" t="s">
        <v>441</v>
      </c>
      <c r="C122" s="24" t="s">
        <v>442</v>
      </c>
    </row>
    <row r="123" spans="2:3" ht="60.75" customHeight="1" thickBot="1" x14ac:dyDescent="0.35">
      <c r="B123" s="21" t="s">
        <v>790</v>
      </c>
      <c r="C123" s="24" t="s">
        <v>497</v>
      </c>
    </row>
    <row r="124" spans="2:3" ht="29.4" thickBot="1" x14ac:dyDescent="0.35">
      <c r="B124" s="15" t="s">
        <v>181</v>
      </c>
      <c r="C124" s="24" t="s">
        <v>490</v>
      </c>
    </row>
    <row r="125" spans="2:3" ht="60.75" customHeight="1" thickBot="1" x14ac:dyDescent="0.35">
      <c r="B125" s="21" t="s">
        <v>505</v>
      </c>
      <c r="C125" s="24" t="s">
        <v>506</v>
      </c>
    </row>
    <row r="126" spans="2:3" ht="60.75" customHeight="1" thickBot="1" x14ac:dyDescent="0.35">
      <c r="B126" s="15" t="s">
        <v>182</v>
      </c>
      <c r="C126" s="24" t="s">
        <v>500</v>
      </c>
    </row>
    <row r="127" spans="2:3" ht="29.4" thickBot="1" x14ac:dyDescent="0.35">
      <c r="B127" s="21" t="s">
        <v>791</v>
      </c>
      <c r="C127" s="24" t="s">
        <v>493</v>
      </c>
    </row>
    <row r="128" spans="2:3" ht="29.25" customHeight="1" x14ac:dyDescent="0.3">
      <c r="B128" s="20" t="s">
        <v>507</v>
      </c>
      <c r="C128" s="20" t="s">
        <v>508</v>
      </c>
    </row>
    <row r="129" spans="2:3" ht="29.4" thickBot="1" x14ac:dyDescent="0.35">
      <c r="B129" s="21" t="s">
        <v>503</v>
      </c>
      <c r="C129" s="21" t="s">
        <v>504</v>
      </c>
    </row>
    <row r="130" spans="2:3" ht="29.4" thickBot="1" x14ac:dyDescent="0.35">
      <c r="B130" s="17" t="s">
        <v>792</v>
      </c>
      <c r="C130" s="24" t="s">
        <v>494</v>
      </c>
    </row>
    <row r="131" spans="2:3" ht="29.4" thickBot="1" x14ac:dyDescent="0.35">
      <c r="B131" s="21" t="s">
        <v>172</v>
      </c>
      <c r="C131" s="24" t="s">
        <v>457</v>
      </c>
    </row>
    <row r="132" spans="2:3" ht="29.4" thickBot="1" x14ac:dyDescent="0.35">
      <c r="B132" s="17" t="s">
        <v>463</v>
      </c>
      <c r="C132" s="24" t="s">
        <v>464</v>
      </c>
    </row>
    <row r="133" spans="2:3" ht="60.75" customHeight="1" thickBot="1" x14ac:dyDescent="0.35">
      <c r="B133" s="17" t="s">
        <v>173</v>
      </c>
      <c r="C133" s="24" t="s">
        <v>460</v>
      </c>
    </row>
    <row r="134" spans="2:3" ht="30.75" customHeight="1" thickBot="1" x14ac:dyDescent="0.35">
      <c r="B134" s="17" t="s">
        <v>472</v>
      </c>
      <c r="C134" s="24" t="s">
        <v>473</v>
      </c>
    </row>
    <row r="135" spans="2:3" ht="45.75" customHeight="1" thickBot="1" x14ac:dyDescent="0.35">
      <c r="B135" s="17" t="s">
        <v>467</v>
      </c>
      <c r="C135" s="24" t="s">
        <v>468</v>
      </c>
    </row>
    <row r="136" spans="2:3" ht="30.75" customHeight="1" thickBot="1" x14ac:dyDescent="0.35">
      <c r="B136" s="17" t="s">
        <v>177</v>
      </c>
      <c r="C136" s="24" t="s">
        <v>474</v>
      </c>
    </row>
    <row r="137" spans="2:3" ht="45.75" customHeight="1" thickBot="1" x14ac:dyDescent="0.35">
      <c r="B137" s="17" t="s">
        <v>175</v>
      </c>
      <c r="C137" s="24" t="s">
        <v>471</v>
      </c>
    </row>
    <row r="138" spans="2:3" ht="30.75" customHeight="1" thickBot="1" x14ac:dyDescent="0.35">
      <c r="B138" s="21" t="s">
        <v>168</v>
      </c>
      <c r="C138" s="24" t="s">
        <v>449</v>
      </c>
    </row>
    <row r="139" spans="2:3" ht="45.75" customHeight="1" thickBot="1" x14ac:dyDescent="0.35">
      <c r="B139" s="21" t="s">
        <v>170</v>
      </c>
      <c r="C139" s="24" t="s">
        <v>453</v>
      </c>
    </row>
    <row r="140" spans="2:3" ht="30.75" customHeight="1" thickBot="1" x14ac:dyDescent="0.35">
      <c r="B140" s="21" t="s">
        <v>171</v>
      </c>
      <c r="C140" s="24" t="s">
        <v>454</v>
      </c>
    </row>
    <row r="141" spans="2:3" ht="75.75" customHeight="1" thickBot="1" x14ac:dyDescent="0.35">
      <c r="B141" s="21" t="s">
        <v>169</v>
      </c>
      <c r="C141" s="24" t="s">
        <v>452</v>
      </c>
    </row>
    <row r="142" spans="2:3" ht="30.75" customHeight="1" thickBot="1" x14ac:dyDescent="0.35">
      <c r="B142" s="21" t="s">
        <v>195</v>
      </c>
      <c r="C142" s="24" t="s">
        <v>551</v>
      </c>
    </row>
    <row r="143" spans="2:3" ht="75.75" customHeight="1" thickBot="1" x14ac:dyDescent="0.35">
      <c r="B143" s="21" t="s">
        <v>376</v>
      </c>
      <c r="C143" s="24" t="s">
        <v>140</v>
      </c>
    </row>
    <row r="144" spans="2:3" ht="30.75" customHeight="1" thickBot="1" x14ac:dyDescent="0.35">
      <c r="B144" s="21" t="s">
        <v>197</v>
      </c>
      <c r="C144" s="24" t="s">
        <v>557</v>
      </c>
    </row>
    <row r="145" spans="2:3" ht="45.75" customHeight="1" thickBot="1" x14ac:dyDescent="0.35">
      <c r="B145" s="21" t="s">
        <v>194</v>
      </c>
      <c r="C145" s="24" t="s">
        <v>550</v>
      </c>
    </row>
    <row r="146" spans="2:3" ht="30.75" customHeight="1" thickBot="1" x14ac:dyDescent="0.35">
      <c r="B146" s="17" t="s">
        <v>253</v>
      </c>
      <c r="C146" s="24" t="s">
        <v>729</v>
      </c>
    </row>
    <row r="147" spans="2:3" ht="45.75" customHeight="1" thickBot="1" x14ac:dyDescent="0.35">
      <c r="B147" s="18" t="s">
        <v>147</v>
      </c>
      <c r="C147" s="25" t="s">
        <v>390</v>
      </c>
    </row>
    <row r="148" spans="2:3" ht="30.75" customHeight="1" thickBot="1" x14ac:dyDescent="0.35">
      <c r="B148" s="21" t="s">
        <v>275</v>
      </c>
      <c r="C148" s="24" t="s">
        <v>789</v>
      </c>
    </row>
    <row r="149" spans="2:3" ht="15" customHeight="1" x14ac:dyDescent="0.3">
      <c r="B149" s="29" t="s">
        <v>160</v>
      </c>
      <c r="C149" s="20" t="s">
        <v>429</v>
      </c>
    </row>
    <row r="150" spans="2:3" ht="45.75" customHeight="1" thickBot="1" x14ac:dyDescent="0.35">
      <c r="B150" s="21" t="s">
        <v>257</v>
      </c>
      <c r="C150" s="21" t="s">
        <v>743</v>
      </c>
    </row>
    <row r="151" spans="2:3" ht="30.75" customHeight="1" thickBot="1" x14ac:dyDescent="0.35">
      <c r="B151" s="21" t="s">
        <v>259</v>
      </c>
      <c r="C151" s="24" t="s">
        <v>745</v>
      </c>
    </row>
    <row r="152" spans="2:3" ht="75.75" customHeight="1" thickBot="1" x14ac:dyDescent="0.35">
      <c r="B152" s="21" t="s">
        <v>260</v>
      </c>
      <c r="C152" s="24" t="s">
        <v>746</v>
      </c>
    </row>
    <row r="153" spans="2:3" ht="30.75" customHeight="1" thickBot="1" x14ac:dyDescent="0.35">
      <c r="B153" s="21" t="s">
        <v>258</v>
      </c>
      <c r="C153" s="24" t="s">
        <v>744</v>
      </c>
    </row>
    <row r="154" spans="2:3" ht="45.75" customHeight="1" thickBot="1" x14ac:dyDescent="0.35">
      <c r="B154" s="21" t="s">
        <v>167</v>
      </c>
      <c r="C154" s="24" t="s">
        <v>446</v>
      </c>
    </row>
    <row r="155" spans="2:3" ht="30.75" customHeight="1" thickBot="1" x14ac:dyDescent="0.35">
      <c r="B155" s="21" t="s">
        <v>223</v>
      </c>
      <c r="C155" s="24" t="s">
        <v>635</v>
      </c>
    </row>
    <row r="156" spans="2:3" ht="45.75" customHeight="1" thickBot="1" x14ac:dyDescent="0.35">
      <c r="B156" s="21" t="s">
        <v>793</v>
      </c>
      <c r="C156" s="24" t="s">
        <v>610</v>
      </c>
    </row>
    <row r="157" spans="2:3" ht="30.75" customHeight="1" thickBot="1" x14ac:dyDescent="0.35">
      <c r="B157" s="21" t="s">
        <v>202</v>
      </c>
      <c r="C157" s="24" t="s">
        <v>576</v>
      </c>
    </row>
    <row r="158" spans="2:3" ht="75.75" customHeight="1" thickBot="1" x14ac:dyDescent="0.35">
      <c r="B158" s="21" t="s">
        <v>236</v>
      </c>
      <c r="C158" s="24" t="s">
        <v>676</v>
      </c>
    </row>
    <row r="159" spans="2:3" ht="75.75" customHeight="1" thickBot="1" x14ac:dyDescent="0.35">
      <c r="B159" s="21" t="s">
        <v>236</v>
      </c>
      <c r="C159" s="24" t="s">
        <v>676</v>
      </c>
    </row>
    <row r="160" spans="2:3" ht="30.75" customHeight="1" thickBot="1" x14ac:dyDescent="0.35">
      <c r="B160" s="21" t="s">
        <v>166</v>
      </c>
      <c r="C160" s="24" t="s">
        <v>445</v>
      </c>
    </row>
    <row r="161" spans="2:3" ht="60.75" customHeight="1" thickBot="1" x14ac:dyDescent="0.35">
      <c r="B161" s="21" t="s">
        <v>206</v>
      </c>
      <c r="C161" s="24" t="s">
        <v>586</v>
      </c>
    </row>
    <row r="162" spans="2:3" ht="30.75" customHeight="1" thickBot="1" x14ac:dyDescent="0.35">
      <c r="B162" s="21" t="s">
        <v>427</v>
      </c>
      <c r="C162" s="24" t="s">
        <v>428</v>
      </c>
    </row>
    <row r="163" spans="2:3" ht="45.75" customHeight="1" thickBot="1" x14ac:dyDescent="0.35">
      <c r="B163" s="17" t="s">
        <v>159</v>
      </c>
      <c r="C163" s="24" t="s">
        <v>424</v>
      </c>
    </row>
    <row r="164" spans="2:3" ht="30.75" customHeight="1" thickBot="1" x14ac:dyDescent="0.35">
      <c r="B164" s="21" t="s">
        <v>787</v>
      </c>
      <c r="C164" s="24" t="s">
        <v>788</v>
      </c>
    </row>
    <row r="165" spans="2:3" ht="45.75" customHeight="1" thickBot="1" x14ac:dyDescent="0.35">
      <c r="B165" s="21" t="s">
        <v>438</v>
      </c>
      <c r="C165" s="24" t="s">
        <v>439</v>
      </c>
    </row>
    <row r="166" spans="2:3" ht="30.75" customHeight="1" thickBot="1" x14ac:dyDescent="0.35">
      <c r="B166" s="21" t="s">
        <v>156</v>
      </c>
      <c r="C166" s="24" t="s">
        <v>415</v>
      </c>
    </row>
    <row r="167" spans="2:3" ht="45.75" customHeight="1" thickBot="1" x14ac:dyDescent="0.35">
      <c r="B167" s="21" t="s">
        <v>191</v>
      </c>
      <c r="C167" s="24" t="s">
        <v>541</v>
      </c>
    </row>
    <row r="168" spans="2:3" ht="30.75" customHeight="1" thickBot="1" x14ac:dyDescent="0.35">
      <c r="B168" s="21" t="s">
        <v>764</v>
      </c>
      <c r="C168" s="24" t="s">
        <v>765</v>
      </c>
    </row>
    <row r="169" spans="2:3" ht="60.75" customHeight="1" thickBot="1" x14ac:dyDescent="0.35">
      <c r="B169" s="21" t="s">
        <v>228</v>
      </c>
      <c r="C169" s="24" t="s">
        <v>649</v>
      </c>
    </row>
    <row r="170" spans="2:3" ht="30.75" customHeight="1" thickBot="1" x14ac:dyDescent="0.35">
      <c r="B170" s="21" t="s">
        <v>220</v>
      </c>
      <c r="C170" s="24" t="s">
        <v>626</v>
      </c>
    </row>
    <row r="171" spans="2:3" ht="15" customHeight="1" x14ac:dyDescent="0.3">
      <c r="B171" s="20" t="s">
        <v>240</v>
      </c>
      <c r="C171" s="27" t="s">
        <v>692</v>
      </c>
    </row>
    <row r="172" spans="2:3" ht="30.75" customHeight="1" thickBot="1" x14ac:dyDescent="0.35">
      <c r="B172" s="21" t="s">
        <v>157</v>
      </c>
      <c r="C172" s="24" t="s">
        <v>418</v>
      </c>
    </row>
    <row r="173" spans="2:3" ht="30.75" customHeight="1" thickBot="1" x14ac:dyDescent="0.35">
      <c r="B173" s="21" t="s">
        <v>266</v>
      </c>
      <c r="C173" s="24" t="s">
        <v>763</v>
      </c>
    </row>
    <row r="174" spans="2:3" ht="75.75" customHeight="1" thickBot="1" x14ac:dyDescent="0.35">
      <c r="B174" s="17" t="s">
        <v>252</v>
      </c>
      <c r="C174" s="24" t="s">
        <v>728</v>
      </c>
    </row>
    <row r="175" spans="2:3" ht="75.75" customHeight="1" thickBot="1" x14ac:dyDescent="0.35">
      <c r="B175" s="21" t="s">
        <v>227</v>
      </c>
      <c r="C175" s="24" t="s">
        <v>648</v>
      </c>
    </row>
    <row r="176" spans="2:3" ht="30.75" customHeight="1" thickBot="1" x14ac:dyDescent="0.35">
      <c r="B176" s="21" t="s">
        <v>219</v>
      </c>
      <c r="C176" s="24" t="s">
        <v>625</v>
      </c>
    </row>
    <row r="177" spans="2:3" ht="60.75" customHeight="1" thickBot="1" x14ac:dyDescent="0.35">
      <c r="B177" s="21" t="s">
        <v>209</v>
      </c>
      <c r="C177" s="24" t="s">
        <v>595</v>
      </c>
    </row>
    <row r="178" spans="2:3" ht="30.75" customHeight="1" thickBot="1" x14ac:dyDescent="0.35">
      <c r="B178" s="21" t="s">
        <v>249</v>
      </c>
      <c r="C178" s="24" t="s">
        <v>721</v>
      </c>
    </row>
    <row r="179" spans="2:3" ht="45.75" customHeight="1" thickBot="1" x14ac:dyDescent="0.35">
      <c r="B179" s="21" t="s">
        <v>783</v>
      </c>
      <c r="C179" s="24" t="s">
        <v>784</v>
      </c>
    </row>
    <row r="180" spans="2:3" ht="30.75" customHeight="1" thickBot="1" x14ac:dyDescent="0.35">
      <c r="B180" s="21" t="s">
        <v>208</v>
      </c>
      <c r="C180" s="24" t="s">
        <v>592</v>
      </c>
    </row>
    <row r="181" spans="2:3" ht="60.75" customHeight="1" thickBot="1" x14ac:dyDescent="0.35">
      <c r="B181" s="15" t="s">
        <v>153</v>
      </c>
      <c r="C181" s="24" t="s">
        <v>404</v>
      </c>
    </row>
    <row r="182" spans="2:3" ht="30.75" customHeight="1" thickBot="1" x14ac:dyDescent="0.35">
      <c r="B182" s="21" t="s">
        <v>407</v>
      </c>
      <c r="C182" s="24" t="s">
        <v>408</v>
      </c>
    </row>
    <row r="183" spans="2:3" ht="75.75" customHeight="1" thickBot="1" x14ac:dyDescent="0.35">
      <c r="B183" s="21" t="s">
        <v>190</v>
      </c>
      <c r="C183" s="24" t="s">
        <v>538</v>
      </c>
    </row>
    <row r="184" spans="2:3" ht="75.75" customHeight="1" thickBot="1" x14ac:dyDescent="0.35">
      <c r="B184" s="21" t="s">
        <v>161</v>
      </c>
      <c r="C184" s="24" t="s">
        <v>432</v>
      </c>
    </row>
    <row r="185" spans="2:3" ht="30.75" customHeight="1" thickBot="1" x14ac:dyDescent="0.35">
      <c r="B185" s="21" t="s">
        <v>231</v>
      </c>
      <c r="C185" s="24" t="s">
        <v>663</v>
      </c>
    </row>
    <row r="186" spans="2:3" ht="90.75" customHeight="1" thickBot="1" x14ac:dyDescent="0.35">
      <c r="B186" s="21" t="s">
        <v>232</v>
      </c>
      <c r="C186" s="24" t="s">
        <v>664</v>
      </c>
    </row>
    <row r="187" spans="2:3" ht="90.75" customHeight="1" thickBot="1" x14ac:dyDescent="0.35">
      <c r="B187" s="21" t="s">
        <v>234</v>
      </c>
      <c r="C187" s="24" t="s">
        <v>669</v>
      </c>
    </row>
    <row r="188" spans="2:3" ht="30.75" customHeight="1" thickBot="1" x14ac:dyDescent="0.35">
      <c r="B188" s="21" t="s">
        <v>667</v>
      </c>
      <c r="C188" s="24" t="s">
        <v>668</v>
      </c>
    </row>
    <row r="189" spans="2:3" ht="45.75" customHeight="1" thickBot="1" x14ac:dyDescent="0.35">
      <c r="B189" s="21" t="s">
        <v>652</v>
      </c>
      <c r="C189" s="24" t="s">
        <v>653</v>
      </c>
    </row>
    <row r="190" spans="2:3" ht="30.75" customHeight="1" thickBot="1" x14ac:dyDescent="0.35">
      <c r="B190" s="21" t="s">
        <v>154</v>
      </c>
      <c r="C190" s="24" t="s">
        <v>411</v>
      </c>
    </row>
    <row r="191" spans="2:3" ht="60.75" customHeight="1" thickBot="1" x14ac:dyDescent="0.35">
      <c r="B191" s="21" t="s">
        <v>248</v>
      </c>
      <c r="C191" s="24" t="s">
        <v>718</v>
      </c>
    </row>
    <row r="192" spans="2:3" ht="30.75" customHeight="1" thickBot="1" x14ac:dyDescent="0.35">
      <c r="B192" s="21" t="s">
        <v>211</v>
      </c>
      <c r="C192" s="24" t="s">
        <v>601</v>
      </c>
    </row>
    <row r="193" spans="2:3" ht="29.25" customHeight="1" x14ac:dyDescent="0.3">
      <c r="B193" s="20" t="s">
        <v>198</v>
      </c>
      <c r="C193" s="20" t="s">
        <v>564</v>
      </c>
    </row>
    <row r="194" spans="2:3" ht="29.4" thickBot="1" x14ac:dyDescent="0.35">
      <c r="B194" s="21" t="s">
        <v>200</v>
      </c>
      <c r="C194" s="21" t="s">
        <v>570</v>
      </c>
    </row>
    <row r="195" spans="2:3" ht="30.75" customHeight="1" thickBot="1" x14ac:dyDescent="0.35">
      <c r="B195" s="21" t="s">
        <v>199</v>
      </c>
      <c r="C195" s="24" t="s">
        <v>567</v>
      </c>
    </row>
    <row r="196" spans="2:3" ht="60.75" customHeight="1" thickBot="1" x14ac:dyDescent="0.35">
      <c r="B196" s="21" t="s">
        <v>201</v>
      </c>
      <c r="C196" s="24" t="s">
        <v>573</v>
      </c>
    </row>
    <row r="197" spans="2:3" ht="30.75" customHeight="1" thickBot="1" x14ac:dyDescent="0.35">
      <c r="B197" s="21" t="s">
        <v>186</v>
      </c>
      <c r="C197" s="24" t="s">
        <v>526</v>
      </c>
    </row>
    <row r="198" spans="2:3" ht="45.75" customHeight="1" thickBot="1" x14ac:dyDescent="0.35">
      <c r="B198" s="21" t="s">
        <v>272</v>
      </c>
      <c r="C198" s="24" t="s">
        <v>778</v>
      </c>
    </row>
    <row r="199" spans="2:3" ht="60.75" customHeight="1" thickBot="1" x14ac:dyDescent="0.35">
      <c r="B199" s="21" t="s">
        <v>779</v>
      </c>
      <c r="C199" s="24" t="s">
        <v>780</v>
      </c>
    </row>
    <row r="200" spans="2:3" ht="30.75" customHeight="1" thickBot="1" x14ac:dyDescent="0.35">
      <c r="B200" s="17" t="s">
        <v>271</v>
      </c>
      <c r="C200" s="24" t="s">
        <v>777</v>
      </c>
    </row>
    <row r="201" spans="2:3" ht="60.75" customHeight="1" thickBot="1" x14ac:dyDescent="0.35">
      <c r="B201" s="21" t="s">
        <v>207</v>
      </c>
      <c r="C201" s="24" t="s">
        <v>589</v>
      </c>
    </row>
    <row r="202" spans="2:3" ht="30.75" customHeight="1" thickBot="1" x14ac:dyDescent="0.35">
      <c r="B202" s="21" t="s">
        <v>224</v>
      </c>
      <c r="C202" s="24" t="s">
        <v>638</v>
      </c>
    </row>
    <row r="203" spans="2:3" ht="60.75" customHeight="1" thickBot="1" x14ac:dyDescent="0.35">
      <c r="B203" s="21" t="s">
        <v>215</v>
      </c>
      <c r="C203" t="s">
        <v>613</v>
      </c>
    </row>
    <row r="204" spans="2:3" ht="29.4" thickBot="1" x14ac:dyDescent="0.35">
      <c r="B204" s="21" t="s">
        <v>205</v>
      </c>
      <c r="C204" s="24" t="s">
        <v>583</v>
      </c>
    </row>
    <row r="205" spans="2:3" ht="45.75" customHeight="1" thickBot="1" x14ac:dyDescent="0.35">
      <c r="B205" s="21" t="s">
        <v>203</v>
      </c>
      <c r="C205" s="24" t="s">
        <v>579</v>
      </c>
    </row>
    <row r="206" spans="2:3" ht="29.4" thickBot="1" x14ac:dyDescent="0.35">
      <c r="B206" s="21" t="s">
        <v>753</v>
      </c>
      <c r="C206" s="24" t="s">
        <v>754</v>
      </c>
    </row>
    <row r="207" spans="2:3" ht="45.75" customHeight="1" thickBot="1" x14ac:dyDescent="0.35">
      <c r="B207" s="21" t="s">
        <v>155</v>
      </c>
      <c r="C207" s="24" t="s">
        <v>414</v>
      </c>
    </row>
    <row r="208" spans="2:3" ht="29.4" thickBot="1" x14ac:dyDescent="0.35">
      <c r="B208" s="21" t="s">
        <v>221</v>
      </c>
      <c r="C208" s="24" t="s">
        <v>629</v>
      </c>
    </row>
    <row r="209" spans="2:3" ht="45.75" customHeight="1" thickBot="1" x14ac:dyDescent="0.35">
      <c r="B209" s="21" t="s">
        <v>212</v>
      </c>
      <c r="C209" s="24" t="s">
        <v>604</v>
      </c>
    </row>
    <row r="210" spans="2:3" ht="29.4" thickBot="1" x14ac:dyDescent="0.35">
      <c r="B210" s="21" t="s">
        <v>164</v>
      </c>
      <c r="C210" s="24" t="s">
        <v>440</v>
      </c>
    </row>
    <row r="211" spans="2:3" ht="60.75" customHeight="1" thickBot="1" x14ac:dyDescent="0.35">
      <c r="B211" s="21" t="s">
        <v>436</v>
      </c>
      <c r="C211" s="24" t="s">
        <v>437</v>
      </c>
    </row>
    <row r="212" spans="2:3" ht="60.75" customHeight="1" thickBot="1" x14ac:dyDescent="0.35">
      <c r="B212" s="21" t="s">
        <v>261</v>
      </c>
      <c r="C212" s="24" t="s">
        <v>749</v>
      </c>
    </row>
    <row r="213" spans="2:3" ht="29.4" thickBot="1" x14ac:dyDescent="0.35">
      <c r="B213" s="21" t="s">
        <v>243</v>
      </c>
      <c r="C213" s="24" t="s">
        <v>701</v>
      </c>
    </row>
    <row r="214" spans="2:3" ht="29.4" thickBot="1" x14ac:dyDescent="0.35">
      <c r="B214" s="15" t="s">
        <v>151</v>
      </c>
      <c r="C214" s="24" t="s">
        <v>398</v>
      </c>
    </row>
    <row r="215" spans="2:3" ht="29.4" thickBot="1" x14ac:dyDescent="0.35">
      <c r="B215" s="15" t="s">
        <v>150</v>
      </c>
      <c r="C215" s="24" t="s">
        <v>397</v>
      </c>
    </row>
    <row r="216" spans="2:3" ht="60.75" customHeight="1" thickBot="1" x14ac:dyDescent="0.35">
      <c r="B216" s="21" t="s">
        <v>158</v>
      </c>
      <c r="C216" s="24" t="s">
        <v>421</v>
      </c>
    </row>
    <row r="217" spans="2:3" ht="29.4" thickBot="1" x14ac:dyDescent="0.35">
      <c r="B217" s="21" t="s">
        <v>204</v>
      </c>
      <c r="C217" s="24" t="s">
        <v>580</v>
      </c>
    </row>
    <row r="218" spans="2:3" ht="60.75" customHeight="1" thickBot="1" x14ac:dyDescent="0.35">
      <c r="B218" s="21" t="s">
        <v>251</v>
      </c>
      <c r="C218" s="24" t="s">
        <v>725</v>
      </c>
    </row>
    <row r="219" spans="2:3" ht="29.4" thickBot="1" x14ac:dyDescent="0.35">
      <c r="B219" s="21" t="s">
        <v>250</v>
      </c>
      <c r="C219" s="24" t="s">
        <v>724</v>
      </c>
    </row>
    <row r="220" spans="2:3" ht="75.75" customHeight="1" thickBot="1" x14ac:dyDescent="0.35">
      <c r="B220" s="21" t="s">
        <v>732</v>
      </c>
      <c r="C220" s="24" t="s">
        <v>733</v>
      </c>
    </row>
    <row r="221" spans="2:3" ht="29.4" thickBot="1" x14ac:dyDescent="0.35">
      <c r="B221" s="21" t="s">
        <v>149</v>
      </c>
      <c r="C221" s="24" t="s">
        <v>394</v>
      </c>
    </row>
    <row r="222" spans="2:3" ht="45.75" customHeight="1" thickBot="1" x14ac:dyDescent="0.35">
      <c r="B222" s="21" t="s">
        <v>148</v>
      </c>
      <c r="C222" s="24" t="s">
        <v>393</v>
      </c>
    </row>
    <row r="223" spans="2:3" ht="43.8" thickBot="1" x14ac:dyDescent="0.35">
      <c r="B223" s="21" t="s">
        <v>264</v>
      </c>
      <c r="C223" s="24" t="s">
        <v>757</v>
      </c>
    </row>
    <row r="224" spans="2:3" ht="60.75" customHeight="1" thickBot="1" x14ac:dyDescent="0.35">
      <c r="B224" s="21" t="s">
        <v>262</v>
      </c>
      <c r="C224" s="24" t="s">
        <v>752</v>
      </c>
    </row>
    <row r="225" spans="2:3" ht="45.75" customHeight="1" thickBot="1" x14ac:dyDescent="0.35">
      <c r="B225" s="21" t="s">
        <v>189</v>
      </c>
      <c r="C225" s="24" t="s">
        <v>535</v>
      </c>
    </row>
    <row r="226" spans="2:3" ht="29.4" thickBot="1" x14ac:dyDescent="0.35">
      <c r="B226" s="21" t="s">
        <v>187</v>
      </c>
      <c r="C226" s="24" t="s">
        <v>529</v>
      </c>
    </row>
    <row r="227" spans="2:3" ht="45.75" customHeight="1" thickBot="1" x14ac:dyDescent="0.35">
      <c r="B227" s="15" t="s">
        <v>152</v>
      </c>
      <c r="C227" s="24" t="s">
        <v>401</v>
      </c>
    </row>
    <row r="228" spans="2:3" ht="75.75" customHeight="1" thickBot="1" x14ac:dyDescent="0.35">
      <c r="B228" s="17" t="s">
        <v>265</v>
      </c>
      <c r="C228" s="24" t="s">
        <v>760</v>
      </c>
    </row>
    <row r="229" spans="2:3" ht="29.4" thickBot="1" x14ac:dyDescent="0.35">
      <c r="B229" s="21" t="s">
        <v>244</v>
      </c>
      <c r="C229" s="24" t="s">
        <v>704</v>
      </c>
    </row>
    <row r="230" spans="2:3" ht="60.75" customHeight="1" thickBot="1" x14ac:dyDescent="0.35">
      <c r="B230" s="21" t="s">
        <v>245</v>
      </c>
      <c r="C230" s="24" t="s">
        <v>705</v>
      </c>
    </row>
    <row r="231" spans="2:3" ht="15" thickBot="1" x14ac:dyDescent="0.35">
      <c r="B231" s="21" t="s">
        <v>246</v>
      </c>
      <c r="C231" s="24" t="s">
        <v>708</v>
      </c>
    </row>
    <row r="232" spans="2:3" ht="29.4" thickBot="1" x14ac:dyDescent="0.35">
      <c r="B232" s="21" t="s">
        <v>241</v>
      </c>
      <c r="C232" s="24" t="s">
        <v>695</v>
      </c>
    </row>
    <row r="233" spans="2:3" ht="29.4" thickBot="1" x14ac:dyDescent="0.35">
      <c r="B233" s="21" t="s">
        <v>256</v>
      </c>
      <c r="C233" s="24" t="s">
        <v>740</v>
      </c>
    </row>
    <row r="234" spans="2:3" ht="44.25" customHeight="1" x14ac:dyDescent="0.3">
      <c r="B234" s="20" t="s">
        <v>254</v>
      </c>
      <c r="C234" s="20" t="s">
        <v>736</v>
      </c>
    </row>
    <row r="235" spans="2:3" ht="29.4" thickBot="1" x14ac:dyDescent="0.35">
      <c r="B235" s="21" t="s">
        <v>255</v>
      </c>
      <c r="C235" s="21" t="s">
        <v>737</v>
      </c>
    </row>
    <row r="236" spans="2:3" ht="75.75" customHeight="1" thickBot="1" x14ac:dyDescent="0.35">
      <c r="B236" s="21" t="s">
        <v>738</v>
      </c>
      <c r="C236" s="24" t="s">
        <v>739</v>
      </c>
    </row>
    <row r="237" spans="2:3" ht="60.75" customHeight="1" thickBot="1" x14ac:dyDescent="0.35">
      <c r="B237" s="21" t="s">
        <v>213</v>
      </c>
      <c r="C237" s="24" t="s">
        <v>607</v>
      </c>
    </row>
    <row r="238" spans="2:3" ht="30.75" customHeight="1" thickBot="1" x14ac:dyDescent="0.35">
      <c r="B238" s="21" t="s">
        <v>222</v>
      </c>
      <c r="C238" s="24" t="s">
        <v>632</v>
      </c>
    </row>
    <row r="239" spans="2:3" ht="30.75" customHeight="1" thickBot="1" x14ac:dyDescent="0.35">
      <c r="B239" s="21" t="s">
        <v>192</v>
      </c>
      <c r="C239" s="24" t="s">
        <v>544</v>
      </c>
    </row>
    <row r="240" spans="2:3" ht="15" thickBot="1" x14ac:dyDescent="0.35">
      <c r="B240" s="21" t="s">
        <v>560</v>
      </c>
      <c r="C240" s="24" t="s">
        <v>561</v>
      </c>
    </row>
    <row r="241" spans="2:3" ht="29.4" thickBot="1" x14ac:dyDescent="0.35">
      <c r="B241" s="21" t="s">
        <v>771</v>
      </c>
      <c r="C241" s="24" t="s">
        <v>772</v>
      </c>
    </row>
    <row r="242" spans="2:3" ht="45.75" customHeight="1" thickBot="1" x14ac:dyDescent="0.35">
      <c r="B242" s="21" t="s">
        <v>269</v>
      </c>
      <c r="C242" s="24" t="s">
        <v>769</v>
      </c>
    </row>
    <row r="243" spans="2:3" ht="30.75" customHeight="1" thickBot="1" x14ac:dyDescent="0.35">
      <c r="B243" s="21" t="s">
        <v>210</v>
      </c>
      <c r="C243" s="24" t="s">
        <v>598</v>
      </c>
    </row>
    <row r="244" spans="2:3" ht="59.25" customHeight="1" x14ac:dyDescent="0.3">
      <c r="B244" s="28" t="s">
        <v>162</v>
      </c>
      <c r="C244" s="20" t="s">
        <v>433</v>
      </c>
    </row>
    <row r="245" spans="2:3" ht="29.4" thickBot="1" x14ac:dyDescent="0.35">
      <c r="B245" s="21" t="s">
        <v>226</v>
      </c>
      <c r="C245" s="21" t="s">
        <v>794</v>
      </c>
    </row>
    <row r="246" spans="2:3" ht="30.75" customHeight="1" thickBot="1" x14ac:dyDescent="0.35">
      <c r="B246" s="21" t="s">
        <v>217</v>
      </c>
      <c r="C246" s="24" t="s">
        <v>619</v>
      </c>
    </row>
    <row r="247" spans="2:3" ht="29.4" thickBot="1" x14ac:dyDescent="0.35">
      <c r="B247" s="21" t="s">
        <v>218</v>
      </c>
      <c r="C247" s="24" t="s">
        <v>622</v>
      </c>
    </row>
    <row r="248" spans="2:3" ht="60.75" customHeight="1" thickBot="1" x14ac:dyDescent="0.35">
      <c r="B248" s="21" t="s">
        <v>235</v>
      </c>
      <c r="C248" s="24" t="s">
        <v>679</v>
      </c>
    </row>
    <row r="249" spans="2:3" ht="30.75" customHeight="1" thickBot="1" x14ac:dyDescent="0.35">
      <c r="B249" s="21" t="s">
        <v>672</v>
      </c>
      <c r="C249" s="24" t="s">
        <v>673</v>
      </c>
    </row>
    <row r="250" spans="2:3" ht="75.75" customHeight="1" thickBot="1" x14ac:dyDescent="0.35">
      <c r="B250" s="21" t="s">
        <v>242</v>
      </c>
      <c r="C250" s="24" t="s">
        <v>698</v>
      </c>
    </row>
    <row r="251" spans="2:3" ht="30.75" customHeight="1" thickBot="1" x14ac:dyDescent="0.35">
      <c r="B251" s="21" t="s">
        <v>711</v>
      </c>
      <c r="C251" s="24" t="s">
        <v>712</v>
      </c>
    </row>
    <row r="252" spans="2:3" ht="45.75" customHeight="1" thickBot="1" x14ac:dyDescent="0.35">
      <c r="B252" s="21" t="s">
        <v>238</v>
      </c>
      <c r="C252" s="24" t="s">
        <v>686</v>
      </c>
    </row>
    <row r="253" spans="2:3" ht="30.75" customHeight="1" thickBot="1" x14ac:dyDescent="0.35">
      <c r="B253" s="21" t="s">
        <v>656</v>
      </c>
      <c r="C253" s="24" t="s">
        <v>657</v>
      </c>
    </row>
    <row r="254" spans="2:3" ht="45.75" customHeight="1" thickBot="1" x14ac:dyDescent="0.35">
      <c r="B254" s="21" t="s">
        <v>684</v>
      </c>
      <c r="C254" s="24" t="s">
        <v>685</v>
      </c>
    </row>
    <row r="255" spans="2:3" ht="45.75" customHeight="1" thickBot="1" x14ac:dyDescent="0.35">
      <c r="B255" s="21" t="s">
        <v>230</v>
      </c>
      <c r="C255" s="24" t="s">
        <v>660</v>
      </c>
    </row>
    <row r="256" spans="2:3" ht="30.75" customHeight="1" thickBot="1" x14ac:dyDescent="0.35">
      <c r="B256" s="21" t="s">
        <v>239</v>
      </c>
      <c r="C256" s="24" t="s">
        <v>689</v>
      </c>
    </row>
    <row r="257" spans="2:3" ht="43.8" thickBot="1" x14ac:dyDescent="0.35">
      <c r="B257" s="21" t="s">
        <v>216</v>
      </c>
      <c r="C257" s="24" t="s">
        <v>616</v>
      </c>
    </row>
    <row r="258" spans="2:3" ht="45.75" customHeight="1" thickBot="1" x14ac:dyDescent="0.35">
      <c r="B258" s="21" t="s">
        <v>641</v>
      </c>
      <c r="C258" s="24" t="s">
        <v>642</v>
      </c>
    </row>
    <row r="259" spans="2:3" ht="60.75" customHeight="1" thickBot="1" x14ac:dyDescent="0.35">
      <c r="B259" s="21" t="s">
        <v>270</v>
      </c>
      <c r="C259" s="24" t="s">
        <v>770</v>
      </c>
    </row>
    <row r="260" spans="2:3" ht="60.75" customHeight="1" thickBot="1" x14ac:dyDescent="0.35">
      <c r="B260" s="21" t="s">
        <v>268</v>
      </c>
      <c r="C260" s="24" t="s">
        <v>768</v>
      </c>
    </row>
    <row r="261" spans="2:3" ht="15" thickBot="1" x14ac:dyDescent="0.35">
      <c r="B261" s="21" t="s">
        <v>773</v>
      </c>
      <c r="C261" s="24" t="s">
        <v>774</v>
      </c>
    </row>
    <row r="262" spans="2:3" ht="30.75" customHeight="1" thickBot="1" x14ac:dyDescent="0.35">
      <c r="B262" s="21" t="s">
        <v>247</v>
      </c>
      <c r="C262" s="24" t="s">
        <v>715</v>
      </c>
    </row>
    <row r="263" spans="2:3" ht="45.75" customHeight="1" thickBot="1" x14ac:dyDescent="0.35">
      <c r="B263" s="21" t="s">
        <v>196</v>
      </c>
      <c r="C263" s="24" t="s">
        <v>554</v>
      </c>
    </row>
    <row r="264" spans="2:3" ht="60.75" customHeight="1" thickBot="1" x14ac:dyDescent="0.35">
      <c r="B264" s="21"/>
      <c r="C264" s="24"/>
    </row>
    <row r="265" spans="2:3" ht="75.75" customHeight="1" thickBot="1" x14ac:dyDescent="0.35">
      <c r="B265" s="21"/>
      <c r="C265" s="24" t="s">
        <v>613</v>
      </c>
    </row>
    <row r="266" spans="2:3" ht="30.75" customHeight="1" thickBot="1" x14ac:dyDescent="0.35">
      <c r="B266" s="21"/>
      <c r="C266" s="24" t="s">
        <v>645</v>
      </c>
    </row>
    <row r="267" spans="2:3" ht="60.75" customHeight="1" thickBot="1" x14ac:dyDescent="0.35">
      <c r="B267" s="21"/>
      <c r="C267" s="24"/>
    </row>
    <row r="268" spans="2:3" ht="30.75" customHeight="1" thickBot="1" x14ac:dyDescent="0.35">
      <c r="B268" s="21"/>
      <c r="C268" s="24"/>
    </row>
    <row r="269" spans="2:3" ht="45.75" customHeight="1" thickBot="1" x14ac:dyDescent="0.35">
      <c r="B269" s="21"/>
      <c r="C269" s="24"/>
    </row>
    <row r="270" spans="2:3" ht="60.75" customHeight="1" thickBot="1" x14ac:dyDescent="0.35">
      <c r="B270" s="21"/>
      <c r="C270" s="24"/>
    </row>
  </sheetData>
  <sortState ref="B2:C270">
    <sortCondition ref="B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topLeftCell="A6" workbookViewId="0">
      <selection activeCell="A11" sqref="A11:B32"/>
    </sheetView>
  </sheetViews>
  <sheetFormatPr defaultRowHeight="14.4" x14ac:dyDescent="0.3"/>
  <cols>
    <col min="1" max="1" width="81.6640625" customWidth="1"/>
    <col min="2" max="2" width="108.6640625" customWidth="1"/>
  </cols>
  <sheetData>
    <row r="1" spans="1:2" ht="16.2" thickBot="1" x14ac:dyDescent="0.35">
      <c r="A1" s="42" t="s">
        <v>938</v>
      </c>
      <c r="B1" s="43" t="s">
        <v>939</v>
      </c>
    </row>
    <row r="2" spans="1:2" ht="16.2" thickBot="1" x14ac:dyDescent="0.35">
      <c r="A2" s="42" t="s">
        <v>950</v>
      </c>
      <c r="B2" s="43" t="s">
        <v>951</v>
      </c>
    </row>
    <row r="3" spans="1:2" ht="16.2" thickBot="1" x14ac:dyDescent="0.35">
      <c r="A3" s="42" t="s">
        <v>954</v>
      </c>
      <c r="B3" s="43" t="s">
        <v>955</v>
      </c>
    </row>
    <row r="4" spans="1:2" ht="16.2" thickBot="1" x14ac:dyDescent="0.35">
      <c r="A4" s="42" t="s">
        <v>968</v>
      </c>
      <c r="B4" s="43" t="s">
        <v>969</v>
      </c>
    </row>
    <row r="5" spans="1:2" ht="16.2" thickBot="1" x14ac:dyDescent="0.35">
      <c r="A5" s="42" t="s">
        <v>972</v>
      </c>
      <c r="B5" s="43" t="s">
        <v>973</v>
      </c>
    </row>
    <row r="6" spans="1:2" ht="16.2" thickBot="1" x14ac:dyDescent="0.35">
      <c r="A6" s="42" t="s">
        <v>976</v>
      </c>
      <c r="B6" s="43" t="s">
        <v>977</v>
      </c>
    </row>
    <row r="7" spans="1:2" ht="16.2" thickBot="1" x14ac:dyDescent="0.35">
      <c r="A7" s="42" t="s">
        <v>942</v>
      </c>
      <c r="B7" s="43" t="s">
        <v>943</v>
      </c>
    </row>
    <row r="8" spans="1:2" ht="16.2" thickBot="1" x14ac:dyDescent="0.35">
      <c r="A8" s="42" t="s">
        <v>987</v>
      </c>
      <c r="B8" s="43" t="s">
        <v>988</v>
      </c>
    </row>
    <row r="9" spans="1:2" ht="16.2" thickBot="1" x14ac:dyDescent="0.35">
      <c r="A9" s="46" t="s">
        <v>995</v>
      </c>
      <c r="B9" s="43" t="s">
        <v>996</v>
      </c>
    </row>
    <row r="10" spans="1:2" ht="16.2" thickBot="1" x14ac:dyDescent="0.35">
      <c r="A10" s="42" t="s">
        <v>983</v>
      </c>
      <c r="B10" s="43" t="s">
        <v>984</v>
      </c>
    </row>
    <row r="11" spans="1:2" ht="16.2" thickBot="1" x14ac:dyDescent="0.35">
      <c r="A11" s="44" t="s">
        <v>958</v>
      </c>
      <c r="B11" s="45" t="s">
        <v>959</v>
      </c>
    </row>
    <row r="12" spans="1:2" ht="16.2" thickBot="1" x14ac:dyDescent="0.35">
      <c r="A12" s="44" t="s">
        <v>989</v>
      </c>
      <c r="B12" s="45" t="s">
        <v>990</v>
      </c>
    </row>
    <row r="13" spans="1:2" ht="16.2" thickBot="1" x14ac:dyDescent="0.35">
      <c r="A13" s="44" t="s">
        <v>960</v>
      </c>
      <c r="B13" s="45" t="s">
        <v>961</v>
      </c>
    </row>
    <row r="14" spans="1:2" ht="16.2" thickBot="1" x14ac:dyDescent="0.35">
      <c r="A14" s="44" t="s">
        <v>962</v>
      </c>
      <c r="B14" s="45" t="s">
        <v>963</v>
      </c>
    </row>
    <row r="15" spans="1:2" ht="16.2" thickBot="1" x14ac:dyDescent="0.35">
      <c r="A15" s="44" t="s">
        <v>978</v>
      </c>
      <c r="B15" s="45" t="s">
        <v>979</v>
      </c>
    </row>
    <row r="16" spans="1:2" ht="31.8" thickBot="1" x14ac:dyDescent="0.35">
      <c r="A16" s="44" t="s">
        <v>1001</v>
      </c>
      <c r="B16" s="45" t="s">
        <v>980</v>
      </c>
    </row>
    <row r="17" spans="1:2" ht="16.2" thickBot="1" x14ac:dyDescent="0.35">
      <c r="A17" s="44" t="s">
        <v>991</v>
      </c>
      <c r="B17" s="45" t="s">
        <v>992</v>
      </c>
    </row>
    <row r="18" spans="1:2" ht="16.2" thickBot="1" x14ac:dyDescent="0.35">
      <c r="A18" s="44" t="s">
        <v>974</v>
      </c>
      <c r="B18" s="45" t="s">
        <v>975</v>
      </c>
    </row>
    <row r="19" spans="1:2" ht="16.2" thickBot="1" x14ac:dyDescent="0.35">
      <c r="A19" s="44" t="s">
        <v>985</v>
      </c>
      <c r="B19" s="45" t="s">
        <v>986</v>
      </c>
    </row>
    <row r="20" spans="1:2" ht="16.2" thickBot="1" x14ac:dyDescent="0.35">
      <c r="A20" s="44" t="s">
        <v>956</v>
      </c>
      <c r="B20" s="45" t="s">
        <v>957</v>
      </c>
    </row>
    <row r="21" spans="1:2" ht="16.2" thickBot="1" x14ac:dyDescent="0.35">
      <c r="A21" s="44" t="s">
        <v>948</v>
      </c>
      <c r="B21" s="45" t="s">
        <v>949</v>
      </c>
    </row>
    <row r="22" spans="1:2" ht="31.8" thickBot="1" x14ac:dyDescent="0.35">
      <c r="A22" s="44" t="s">
        <v>981</v>
      </c>
      <c r="B22" s="45" t="s">
        <v>982</v>
      </c>
    </row>
    <row r="23" spans="1:2" ht="31.8" thickBot="1" x14ac:dyDescent="0.35">
      <c r="A23" s="44" t="s">
        <v>946</v>
      </c>
      <c r="B23" s="45" t="s">
        <v>947</v>
      </c>
    </row>
    <row r="24" spans="1:2" ht="16.2" thickBot="1" x14ac:dyDescent="0.35">
      <c r="A24" s="44" t="s">
        <v>964</v>
      </c>
      <c r="B24" s="45" t="s">
        <v>965</v>
      </c>
    </row>
    <row r="25" spans="1:2" ht="16.2" thickBot="1" x14ac:dyDescent="0.35">
      <c r="A25" s="44" t="s">
        <v>952</v>
      </c>
      <c r="B25" s="45" t="s">
        <v>953</v>
      </c>
    </row>
    <row r="26" spans="1:2" ht="16.2" thickBot="1" x14ac:dyDescent="0.35">
      <c r="A26" s="44" t="s">
        <v>970</v>
      </c>
      <c r="B26" s="45" t="s">
        <v>971</v>
      </c>
    </row>
    <row r="27" spans="1:2" ht="31.8" thickBot="1" x14ac:dyDescent="0.35">
      <c r="A27" s="44" t="s">
        <v>940</v>
      </c>
      <c r="B27" s="45" t="s">
        <v>941</v>
      </c>
    </row>
    <row r="28" spans="1:2" ht="31.8" thickBot="1" x14ac:dyDescent="0.35">
      <c r="A28" s="44" t="s">
        <v>993</v>
      </c>
      <c r="B28" s="45" t="s">
        <v>994</v>
      </c>
    </row>
    <row r="29" spans="1:2" ht="16.2" thickBot="1" x14ac:dyDescent="0.35">
      <c r="A29" s="44" t="s">
        <v>999</v>
      </c>
      <c r="B29" s="45" t="s">
        <v>1000</v>
      </c>
    </row>
    <row r="30" spans="1:2" ht="16.2" thickBot="1" x14ac:dyDescent="0.35">
      <c r="A30" s="44" t="s">
        <v>944</v>
      </c>
      <c r="B30" s="45" t="s">
        <v>945</v>
      </c>
    </row>
    <row r="31" spans="1:2" ht="16.2" thickBot="1" x14ac:dyDescent="0.35">
      <c r="A31" s="44" t="s">
        <v>997</v>
      </c>
      <c r="B31" s="45" t="s">
        <v>998</v>
      </c>
    </row>
    <row r="32" spans="1:2" ht="15.6" x14ac:dyDescent="0.3">
      <c r="A32" s="47" t="s">
        <v>966</v>
      </c>
      <c r="B32" s="47" t="s">
        <v>967</v>
      </c>
    </row>
    <row r="33" spans="1:2" ht="16.2" thickBot="1" x14ac:dyDescent="0.35">
      <c r="A33" s="44"/>
      <c r="B33" s="44"/>
    </row>
  </sheetData>
  <sortState ref="A2:B32">
    <sortCondition ref="A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1"/>
  <sheetViews>
    <sheetView workbookViewId="0">
      <selection activeCell="A29" sqref="A29:B181"/>
    </sheetView>
  </sheetViews>
  <sheetFormatPr defaultColWidth="9.109375" defaultRowHeight="14.4" x14ac:dyDescent="0.3"/>
  <cols>
    <col min="1" max="1" width="50.88671875" style="74" customWidth="1"/>
    <col min="2" max="2" width="53.109375" style="74" customWidth="1"/>
    <col min="3" max="16384" width="9.109375" style="67"/>
  </cols>
  <sheetData>
    <row r="1" spans="1:2" ht="15.75" thickBot="1" x14ac:dyDescent="0.3">
      <c r="A1" s="75" t="s">
        <v>388</v>
      </c>
      <c r="B1" s="76" t="s">
        <v>389</v>
      </c>
    </row>
    <row r="2" spans="1:2" ht="15" thickBot="1" x14ac:dyDescent="0.35">
      <c r="A2" s="69" t="s">
        <v>1075</v>
      </c>
      <c r="B2" s="70" t="s">
        <v>1076</v>
      </c>
    </row>
    <row r="3" spans="1:2" ht="15" thickBot="1" x14ac:dyDescent="0.35">
      <c r="A3" s="69" t="s">
        <v>1077</v>
      </c>
      <c r="B3" s="70" t="s">
        <v>1078</v>
      </c>
    </row>
    <row r="4" spans="1:2" ht="15" thickBot="1" x14ac:dyDescent="0.35">
      <c r="A4" s="69" t="s">
        <v>1079</v>
      </c>
      <c r="B4" s="70" t="s">
        <v>1080</v>
      </c>
    </row>
    <row r="5" spans="1:2" ht="15" thickBot="1" x14ac:dyDescent="0.35">
      <c r="A5" s="69" t="s">
        <v>1081</v>
      </c>
      <c r="B5" s="70" t="s">
        <v>1082</v>
      </c>
    </row>
    <row r="6" spans="1:2" ht="15" thickBot="1" x14ac:dyDescent="0.35">
      <c r="A6" s="69" t="s">
        <v>1083</v>
      </c>
      <c r="B6" s="70" t="s">
        <v>1084</v>
      </c>
    </row>
    <row r="7" spans="1:2" ht="15" thickBot="1" x14ac:dyDescent="0.35">
      <c r="A7" s="69" t="s">
        <v>1085</v>
      </c>
      <c r="B7" s="70" t="s">
        <v>1086</v>
      </c>
    </row>
    <row r="8" spans="1:2" ht="15" thickBot="1" x14ac:dyDescent="0.35">
      <c r="A8" s="69" t="s">
        <v>1087</v>
      </c>
      <c r="B8" s="70" t="s">
        <v>1088</v>
      </c>
    </row>
    <row r="9" spans="1:2" ht="15" thickBot="1" x14ac:dyDescent="0.35">
      <c r="A9" s="69" t="s">
        <v>1089</v>
      </c>
      <c r="B9" s="70" t="s">
        <v>1090</v>
      </c>
    </row>
    <row r="10" spans="1:2" ht="15" thickBot="1" x14ac:dyDescent="0.35">
      <c r="A10" s="69" t="s">
        <v>1091</v>
      </c>
      <c r="B10" s="70" t="s">
        <v>1092</v>
      </c>
    </row>
    <row r="11" spans="1:2" ht="15" thickBot="1" x14ac:dyDescent="0.35">
      <c r="A11" s="69" t="s">
        <v>1093</v>
      </c>
      <c r="B11" s="70" t="s">
        <v>1094</v>
      </c>
    </row>
    <row r="12" spans="1:2" ht="15" thickBot="1" x14ac:dyDescent="0.35">
      <c r="A12" s="69" t="s">
        <v>1095</v>
      </c>
      <c r="B12" s="70" t="s">
        <v>1096</v>
      </c>
    </row>
    <row r="13" spans="1:2" ht="15" thickBot="1" x14ac:dyDescent="0.35">
      <c r="A13" s="69" t="s">
        <v>1097</v>
      </c>
      <c r="B13" s="70" t="s">
        <v>1098</v>
      </c>
    </row>
    <row r="14" spans="1:2" ht="15" thickBot="1" x14ac:dyDescent="0.35">
      <c r="A14" s="69" t="s">
        <v>1099</v>
      </c>
      <c r="B14" s="70" t="s">
        <v>1100</v>
      </c>
    </row>
    <row r="15" spans="1:2" ht="15" thickBot="1" x14ac:dyDescent="0.35">
      <c r="A15" s="69" t="s">
        <v>1101</v>
      </c>
      <c r="B15" s="70" t="s">
        <v>1102</v>
      </c>
    </row>
    <row r="16" spans="1:2" ht="15" thickBot="1" x14ac:dyDescent="0.35">
      <c r="A16" s="69" t="s">
        <v>1103</v>
      </c>
      <c r="B16" s="70" t="s">
        <v>1104</v>
      </c>
    </row>
    <row r="17" spans="1:2" ht="15" thickBot="1" x14ac:dyDescent="0.35">
      <c r="A17" s="69" t="s">
        <v>1105</v>
      </c>
      <c r="B17" s="70" t="s">
        <v>1106</v>
      </c>
    </row>
    <row r="18" spans="1:2" ht="15" thickBot="1" x14ac:dyDescent="0.35">
      <c r="A18" s="69" t="s">
        <v>1107</v>
      </c>
      <c r="B18" s="70" t="s">
        <v>1108</v>
      </c>
    </row>
    <row r="19" spans="1:2" ht="15" thickBot="1" x14ac:dyDescent="0.35">
      <c r="A19" s="69" t="s">
        <v>1109</v>
      </c>
      <c r="B19" s="70" t="s">
        <v>1110</v>
      </c>
    </row>
    <row r="20" spans="1:2" ht="15" thickBot="1" x14ac:dyDescent="0.35">
      <c r="A20" s="69" t="s">
        <v>1111</v>
      </c>
      <c r="B20" s="70" t="s">
        <v>1112</v>
      </c>
    </row>
    <row r="21" spans="1:2" ht="15" thickBot="1" x14ac:dyDescent="0.35">
      <c r="A21" s="69" t="s">
        <v>1113</v>
      </c>
      <c r="B21" s="70" t="s">
        <v>1114</v>
      </c>
    </row>
    <row r="22" spans="1:2" ht="15" thickBot="1" x14ac:dyDescent="0.35">
      <c r="A22" s="69" t="s">
        <v>1115</v>
      </c>
      <c r="B22" s="70" t="s">
        <v>1116</v>
      </c>
    </row>
    <row r="23" spans="1:2" ht="15" thickBot="1" x14ac:dyDescent="0.35">
      <c r="A23" s="69" t="s">
        <v>825</v>
      </c>
      <c r="B23" s="70" t="s">
        <v>1117</v>
      </c>
    </row>
    <row r="24" spans="1:2" ht="15" thickBot="1" x14ac:dyDescent="0.35">
      <c r="A24" s="69" t="s">
        <v>1118</v>
      </c>
      <c r="B24" s="70" t="s">
        <v>1119</v>
      </c>
    </row>
    <row r="25" spans="1:2" ht="15" thickBot="1" x14ac:dyDescent="0.35">
      <c r="A25" s="69" t="s">
        <v>1120</v>
      </c>
      <c r="B25" s="70" t="s">
        <v>1121</v>
      </c>
    </row>
    <row r="26" spans="1:2" ht="15" thickBot="1" x14ac:dyDescent="0.35">
      <c r="A26" s="69" t="s">
        <v>1122</v>
      </c>
      <c r="B26" s="70" t="s">
        <v>1123</v>
      </c>
    </row>
    <row r="27" spans="1:2" ht="15" thickBot="1" x14ac:dyDescent="0.35">
      <c r="A27" s="69" t="s">
        <v>1072</v>
      </c>
      <c r="B27" s="70" t="s">
        <v>1073</v>
      </c>
    </row>
    <row r="28" spans="1:2" ht="15" thickBot="1" x14ac:dyDescent="0.35">
      <c r="A28" s="69" t="s">
        <v>1130</v>
      </c>
      <c r="B28" s="70" t="s">
        <v>1074</v>
      </c>
    </row>
    <row r="29" spans="1:2" ht="29.4" thickBot="1" x14ac:dyDescent="0.35">
      <c r="A29" s="71" t="s">
        <v>193</v>
      </c>
      <c r="B29" s="72" t="s">
        <v>547</v>
      </c>
    </row>
    <row r="30" spans="1:2" ht="43.8" thickBot="1" x14ac:dyDescent="0.35">
      <c r="A30" s="71" t="s">
        <v>814</v>
      </c>
      <c r="B30" s="72" t="s">
        <v>930</v>
      </c>
    </row>
    <row r="31" spans="1:2" ht="43.8" thickBot="1" x14ac:dyDescent="0.35">
      <c r="A31" s="71" t="s">
        <v>811</v>
      </c>
      <c r="B31" s="72" t="s">
        <v>927</v>
      </c>
    </row>
    <row r="32" spans="1:2" ht="58.2" thickBot="1" x14ac:dyDescent="0.35">
      <c r="A32" s="71" t="s">
        <v>812</v>
      </c>
      <c r="B32" s="72" t="s">
        <v>928</v>
      </c>
    </row>
    <row r="33" spans="1:2" ht="72.599999999999994" thickBot="1" x14ac:dyDescent="0.35">
      <c r="A33" s="71" t="s">
        <v>813</v>
      </c>
      <c r="B33" s="72" t="s">
        <v>929</v>
      </c>
    </row>
    <row r="34" spans="1:2" ht="43.8" thickBot="1" x14ac:dyDescent="0.35">
      <c r="A34" s="71" t="s">
        <v>185</v>
      </c>
      <c r="B34" s="72" t="s">
        <v>523</v>
      </c>
    </row>
    <row r="35" spans="1:2" ht="43.8" thickBot="1" x14ac:dyDescent="0.35">
      <c r="A35" s="71" t="s">
        <v>188</v>
      </c>
      <c r="B35" s="72" t="s">
        <v>532</v>
      </c>
    </row>
    <row r="36" spans="1:2" ht="43.8" thickBot="1" x14ac:dyDescent="0.35">
      <c r="A36" s="71" t="s">
        <v>180</v>
      </c>
      <c r="B36" s="72" t="s">
        <v>487</v>
      </c>
    </row>
    <row r="37" spans="1:2" ht="43.8" thickBot="1" x14ac:dyDescent="0.35">
      <c r="A37" s="71" t="s">
        <v>178</v>
      </c>
      <c r="B37" s="72" t="s">
        <v>477</v>
      </c>
    </row>
    <row r="38" spans="1:2" ht="58.2" thickBot="1" x14ac:dyDescent="0.35">
      <c r="A38" s="71" t="s">
        <v>483</v>
      </c>
      <c r="B38" s="72" t="s">
        <v>484</v>
      </c>
    </row>
    <row r="39" spans="1:2" ht="43.8" thickBot="1" x14ac:dyDescent="0.35">
      <c r="A39" s="71" t="s">
        <v>179</v>
      </c>
      <c r="B39" s="72" t="s">
        <v>480</v>
      </c>
    </row>
    <row r="40" spans="1:2" ht="29.4" thickBot="1" x14ac:dyDescent="0.35">
      <c r="A40" s="71" t="s">
        <v>441</v>
      </c>
      <c r="B40" s="72" t="s">
        <v>442</v>
      </c>
    </row>
    <row r="41" spans="1:2" ht="43.8" thickBot="1" x14ac:dyDescent="0.35">
      <c r="A41" s="71" t="s">
        <v>790</v>
      </c>
      <c r="B41" s="72" t="s">
        <v>497</v>
      </c>
    </row>
    <row r="42" spans="1:2" ht="43.8" thickBot="1" x14ac:dyDescent="0.35">
      <c r="A42" s="71" t="s">
        <v>1129</v>
      </c>
      <c r="B42" s="72" t="s">
        <v>490</v>
      </c>
    </row>
    <row r="43" spans="1:2" ht="43.8" thickBot="1" x14ac:dyDescent="0.35">
      <c r="A43" s="71" t="s">
        <v>505</v>
      </c>
      <c r="B43" s="72" t="s">
        <v>506</v>
      </c>
    </row>
    <row r="44" spans="1:2" ht="29.4" thickBot="1" x14ac:dyDescent="0.35">
      <c r="A44" s="71" t="s">
        <v>182</v>
      </c>
      <c r="B44" s="72" t="s">
        <v>500</v>
      </c>
    </row>
    <row r="45" spans="1:2" ht="29.4" thickBot="1" x14ac:dyDescent="0.35">
      <c r="A45" s="71" t="s">
        <v>791</v>
      </c>
      <c r="B45" s="72" t="s">
        <v>493</v>
      </c>
    </row>
    <row r="46" spans="1:2" ht="43.8" thickBot="1" x14ac:dyDescent="0.35">
      <c r="A46" s="71" t="s">
        <v>507</v>
      </c>
      <c r="B46" s="72" t="s">
        <v>508</v>
      </c>
    </row>
    <row r="47" spans="1:2" ht="43.8" thickBot="1" x14ac:dyDescent="0.35">
      <c r="A47" s="71" t="s">
        <v>503</v>
      </c>
      <c r="B47" s="72" t="s">
        <v>504</v>
      </c>
    </row>
    <row r="48" spans="1:2" ht="29.4" thickBot="1" x14ac:dyDescent="0.35">
      <c r="A48" s="68" t="s">
        <v>1131</v>
      </c>
      <c r="B48" s="72" t="s">
        <v>494</v>
      </c>
    </row>
    <row r="49" spans="1:2" ht="43.8" thickBot="1" x14ac:dyDescent="0.35">
      <c r="A49" s="71" t="s">
        <v>172</v>
      </c>
      <c r="B49" s="72" t="s">
        <v>457</v>
      </c>
    </row>
    <row r="50" spans="1:2" ht="43.8" thickBot="1" x14ac:dyDescent="0.35">
      <c r="A50" s="68" t="s">
        <v>1128</v>
      </c>
      <c r="B50" s="72" t="s">
        <v>464</v>
      </c>
    </row>
    <row r="51" spans="1:2" ht="29.4" thickBot="1" x14ac:dyDescent="0.35">
      <c r="A51" s="68" t="s">
        <v>173</v>
      </c>
      <c r="B51" s="72" t="s">
        <v>460</v>
      </c>
    </row>
    <row r="52" spans="1:2" ht="43.8" thickBot="1" x14ac:dyDescent="0.35">
      <c r="A52" s="68" t="s">
        <v>1127</v>
      </c>
      <c r="B52" s="72" t="s">
        <v>473</v>
      </c>
    </row>
    <row r="53" spans="1:2" ht="29.4" thickBot="1" x14ac:dyDescent="0.35">
      <c r="A53" s="68" t="s">
        <v>1126</v>
      </c>
      <c r="B53" s="72" t="s">
        <v>468</v>
      </c>
    </row>
    <row r="54" spans="1:2" ht="43.8" thickBot="1" x14ac:dyDescent="0.35">
      <c r="A54" s="68" t="s">
        <v>1125</v>
      </c>
      <c r="B54" s="72" t="s">
        <v>474</v>
      </c>
    </row>
    <row r="55" spans="1:2" ht="43.8" thickBot="1" x14ac:dyDescent="0.35">
      <c r="A55" s="68" t="s">
        <v>1124</v>
      </c>
      <c r="B55" s="72" t="s">
        <v>471</v>
      </c>
    </row>
    <row r="56" spans="1:2" ht="43.8" thickBot="1" x14ac:dyDescent="0.35">
      <c r="A56" s="71" t="s">
        <v>168</v>
      </c>
      <c r="B56" s="72" t="s">
        <v>449</v>
      </c>
    </row>
    <row r="57" spans="1:2" ht="43.8" thickBot="1" x14ac:dyDescent="0.35">
      <c r="A57" s="71" t="s">
        <v>170</v>
      </c>
      <c r="B57" s="72" t="s">
        <v>453</v>
      </c>
    </row>
    <row r="58" spans="1:2" ht="43.8" thickBot="1" x14ac:dyDescent="0.35">
      <c r="A58" s="71" t="s">
        <v>171</v>
      </c>
      <c r="B58" s="72" t="s">
        <v>454</v>
      </c>
    </row>
    <row r="59" spans="1:2" ht="43.8" thickBot="1" x14ac:dyDescent="0.35">
      <c r="A59" s="71" t="s">
        <v>169</v>
      </c>
      <c r="B59" s="72" t="s">
        <v>452</v>
      </c>
    </row>
    <row r="60" spans="1:2" ht="29.4" thickBot="1" x14ac:dyDescent="0.35">
      <c r="A60" s="71" t="s">
        <v>195</v>
      </c>
      <c r="B60" s="72" t="s">
        <v>551</v>
      </c>
    </row>
    <row r="61" spans="1:2" ht="15" thickBot="1" x14ac:dyDescent="0.35">
      <c r="A61" s="71" t="s">
        <v>376</v>
      </c>
      <c r="B61" s="72" t="s">
        <v>140</v>
      </c>
    </row>
    <row r="62" spans="1:2" ht="29.4" thickBot="1" x14ac:dyDescent="0.35">
      <c r="A62" s="71" t="s">
        <v>197</v>
      </c>
      <c r="B62" s="72" t="s">
        <v>557</v>
      </c>
    </row>
    <row r="63" spans="1:2" ht="29.4" thickBot="1" x14ac:dyDescent="0.35">
      <c r="A63" s="71" t="s">
        <v>194</v>
      </c>
      <c r="B63" s="72" t="s">
        <v>550</v>
      </c>
    </row>
    <row r="64" spans="1:2" ht="29.4" thickBot="1" x14ac:dyDescent="0.35">
      <c r="A64" s="68" t="s">
        <v>160</v>
      </c>
      <c r="B64" s="72" t="s">
        <v>429</v>
      </c>
    </row>
    <row r="65" spans="1:2" ht="29.4" thickBot="1" x14ac:dyDescent="0.35">
      <c r="A65" s="71" t="s">
        <v>167</v>
      </c>
      <c r="B65" s="72" t="s">
        <v>446</v>
      </c>
    </row>
    <row r="66" spans="1:2" ht="43.8" thickBot="1" x14ac:dyDescent="0.35">
      <c r="A66" s="71" t="s">
        <v>202</v>
      </c>
      <c r="B66" s="72" t="s">
        <v>576</v>
      </c>
    </row>
    <row r="67" spans="1:2" ht="29.4" thickBot="1" x14ac:dyDescent="0.35">
      <c r="A67" s="71" t="s">
        <v>166</v>
      </c>
      <c r="B67" s="72" t="s">
        <v>445</v>
      </c>
    </row>
    <row r="68" spans="1:2" ht="29.4" thickBot="1" x14ac:dyDescent="0.35">
      <c r="A68" s="71" t="s">
        <v>427</v>
      </c>
      <c r="B68" s="72" t="s">
        <v>428</v>
      </c>
    </row>
    <row r="69" spans="1:2" ht="29.4" thickBot="1" x14ac:dyDescent="0.35">
      <c r="A69" s="68" t="s">
        <v>159</v>
      </c>
      <c r="B69" s="72" t="s">
        <v>424</v>
      </c>
    </row>
    <row r="70" spans="1:2" ht="29.4" thickBot="1" x14ac:dyDescent="0.35">
      <c r="A70" s="71" t="s">
        <v>438</v>
      </c>
      <c r="B70" s="72" t="s">
        <v>439</v>
      </c>
    </row>
    <row r="71" spans="1:2" ht="29.4" thickBot="1" x14ac:dyDescent="0.35">
      <c r="A71" s="71" t="s">
        <v>156</v>
      </c>
      <c r="B71" s="72" t="s">
        <v>415</v>
      </c>
    </row>
    <row r="72" spans="1:2" ht="29.4" thickBot="1" x14ac:dyDescent="0.35">
      <c r="A72" s="71" t="s">
        <v>191</v>
      </c>
      <c r="B72" s="72" t="s">
        <v>541</v>
      </c>
    </row>
    <row r="73" spans="1:2" ht="58.2" thickBot="1" x14ac:dyDescent="0.35">
      <c r="A73" s="71" t="s">
        <v>157</v>
      </c>
      <c r="B73" s="72" t="s">
        <v>418</v>
      </c>
    </row>
    <row r="74" spans="1:2" ht="58.2" thickBot="1" x14ac:dyDescent="0.35">
      <c r="A74" s="71" t="s">
        <v>153</v>
      </c>
      <c r="B74" s="72" t="s">
        <v>924</v>
      </c>
    </row>
    <row r="75" spans="1:2" ht="29.4" thickBot="1" x14ac:dyDescent="0.35">
      <c r="A75" s="71" t="s">
        <v>407</v>
      </c>
      <c r="B75" s="72" t="s">
        <v>408</v>
      </c>
    </row>
    <row r="76" spans="1:2" ht="29.4" thickBot="1" x14ac:dyDescent="0.35">
      <c r="A76" s="71" t="s">
        <v>190</v>
      </c>
      <c r="B76" s="72" t="s">
        <v>538</v>
      </c>
    </row>
    <row r="77" spans="1:2" ht="29.4" thickBot="1" x14ac:dyDescent="0.35">
      <c r="A77" s="71" t="s">
        <v>161</v>
      </c>
      <c r="B77" s="72" t="s">
        <v>432</v>
      </c>
    </row>
    <row r="78" spans="1:2" ht="29.4" thickBot="1" x14ac:dyDescent="0.35">
      <c r="A78" s="71" t="s">
        <v>154</v>
      </c>
      <c r="B78" s="72" t="s">
        <v>925</v>
      </c>
    </row>
    <row r="79" spans="1:2" ht="43.8" thickBot="1" x14ac:dyDescent="0.35">
      <c r="A79" s="71" t="s">
        <v>198</v>
      </c>
      <c r="B79" s="72" t="s">
        <v>564</v>
      </c>
    </row>
    <row r="80" spans="1:2" ht="43.8" thickBot="1" x14ac:dyDescent="0.35">
      <c r="A80" s="71" t="s">
        <v>200</v>
      </c>
      <c r="B80" s="72" t="s">
        <v>570</v>
      </c>
    </row>
    <row r="81" spans="1:2" ht="43.8" thickBot="1" x14ac:dyDescent="0.35">
      <c r="A81" s="71" t="s">
        <v>199</v>
      </c>
      <c r="B81" s="72" t="s">
        <v>567</v>
      </c>
    </row>
    <row r="82" spans="1:2" ht="29.4" thickBot="1" x14ac:dyDescent="0.35">
      <c r="A82" s="71" t="s">
        <v>201</v>
      </c>
      <c r="B82" s="72" t="s">
        <v>573</v>
      </c>
    </row>
    <row r="83" spans="1:2" ht="29.4" thickBot="1" x14ac:dyDescent="0.35">
      <c r="A83" s="71" t="s">
        <v>186</v>
      </c>
      <c r="B83" s="72" t="s">
        <v>526</v>
      </c>
    </row>
    <row r="84" spans="1:2" ht="43.8" thickBot="1" x14ac:dyDescent="0.35">
      <c r="A84" s="71" t="s">
        <v>205</v>
      </c>
      <c r="B84" s="72" t="s">
        <v>583</v>
      </c>
    </row>
    <row r="85" spans="1:2" ht="43.8" thickBot="1" x14ac:dyDescent="0.35">
      <c r="A85" s="71" t="s">
        <v>203</v>
      </c>
      <c r="B85" s="72" t="s">
        <v>579</v>
      </c>
    </row>
    <row r="86" spans="1:2" ht="58.2" thickBot="1" x14ac:dyDescent="0.35">
      <c r="A86" s="71" t="s">
        <v>800</v>
      </c>
      <c r="B86" s="72" t="s">
        <v>926</v>
      </c>
    </row>
    <row r="87" spans="1:2" ht="29.4" thickBot="1" x14ac:dyDescent="0.35">
      <c r="A87" s="71" t="s">
        <v>164</v>
      </c>
      <c r="B87" s="72" t="s">
        <v>440</v>
      </c>
    </row>
    <row r="88" spans="1:2" ht="29.4" thickBot="1" x14ac:dyDescent="0.35">
      <c r="A88" s="71" t="s">
        <v>436</v>
      </c>
      <c r="B88" s="72" t="s">
        <v>437</v>
      </c>
    </row>
    <row r="89" spans="1:2" ht="43.8" thickBot="1" x14ac:dyDescent="0.35">
      <c r="A89" s="71" t="s">
        <v>151</v>
      </c>
      <c r="B89" s="72" t="s">
        <v>398</v>
      </c>
    </row>
    <row r="90" spans="1:2" ht="29.4" thickBot="1" x14ac:dyDescent="0.35">
      <c r="A90" s="71" t="s">
        <v>150</v>
      </c>
      <c r="B90" s="72" t="s">
        <v>397</v>
      </c>
    </row>
    <row r="91" spans="1:2" ht="43.8" thickBot="1" x14ac:dyDescent="0.35">
      <c r="A91" s="71" t="s">
        <v>158</v>
      </c>
      <c r="B91" s="72" t="s">
        <v>421</v>
      </c>
    </row>
    <row r="92" spans="1:2" ht="29.4" thickBot="1" x14ac:dyDescent="0.35">
      <c r="A92" s="71" t="s">
        <v>204</v>
      </c>
      <c r="B92" s="72" t="s">
        <v>580</v>
      </c>
    </row>
    <row r="93" spans="1:2" ht="43.8" thickBot="1" x14ac:dyDescent="0.35">
      <c r="A93" s="71" t="s">
        <v>149</v>
      </c>
      <c r="B93" s="72" t="s">
        <v>394</v>
      </c>
    </row>
    <row r="94" spans="1:2" ht="43.8" thickBot="1" x14ac:dyDescent="0.35">
      <c r="A94" s="71" t="s">
        <v>148</v>
      </c>
      <c r="B94" s="72" t="s">
        <v>393</v>
      </c>
    </row>
    <row r="95" spans="1:2" ht="43.8" thickBot="1" x14ac:dyDescent="0.35">
      <c r="A95" s="71" t="s">
        <v>189</v>
      </c>
      <c r="B95" s="72" t="s">
        <v>535</v>
      </c>
    </row>
    <row r="96" spans="1:2" ht="29.4" thickBot="1" x14ac:dyDescent="0.35">
      <c r="A96" s="71" t="s">
        <v>187</v>
      </c>
      <c r="B96" s="72" t="s">
        <v>529</v>
      </c>
    </row>
    <row r="97" spans="1:2" ht="29.4" thickBot="1" x14ac:dyDescent="0.35">
      <c r="A97" s="71" t="s">
        <v>152</v>
      </c>
      <c r="B97" s="72" t="s">
        <v>401</v>
      </c>
    </row>
    <row r="98" spans="1:2" ht="29.4" thickBot="1" x14ac:dyDescent="0.35">
      <c r="A98" s="71" t="s">
        <v>192</v>
      </c>
      <c r="B98" s="72" t="s">
        <v>544</v>
      </c>
    </row>
    <row r="99" spans="1:2" ht="29.4" thickBot="1" x14ac:dyDescent="0.35">
      <c r="A99" s="71" t="s">
        <v>560</v>
      </c>
      <c r="B99" s="72" t="s">
        <v>561</v>
      </c>
    </row>
    <row r="100" spans="1:2" ht="29.4" thickBot="1" x14ac:dyDescent="0.35">
      <c r="A100" s="68" t="s">
        <v>162</v>
      </c>
      <c r="B100" s="72" t="s">
        <v>433</v>
      </c>
    </row>
    <row r="101" spans="1:2" ht="28.8" x14ac:dyDescent="0.3">
      <c r="A101" s="73" t="s">
        <v>196</v>
      </c>
      <c r="B101" s="73" t="s">
        <v>554</v>
      </c>
    </row>
    <row r="102" spans="1:2" ht="29.4" thickBot="1" x14ac:dyDescent="0.35">
      <c r="A102" s="71" t="s">
        <v>206</v>
      </c>
      <c r="B102" s="72" t="s">
        <v>586</v>
      </c>
    </row>
    <row r="103" spans="1:2" ht="43.8" thickBot="1" x14ac:dyDescent="0.35">
      <c r="A103" s="71" t="s">
        <v>207</v>
      </c>
      <c r="B103" s="72" t="s">
        <v>589</v>
      </c>
    </row>
    <row r="104" spans="1:2" ht="29.4" thickBot="1" x14ac:dyDescent="0.35">
      <c r="A104" s="71" t="s">
        <v>208</v>
      </c>
      <c r="B104" s="72" t="s">
        <v>592</v>
      </c>
    </row>
    <row r="105" spans="1:2" ht="29.4" thickBot="1" x14ac:dyDescent="0.35">
      <c r="A105" s="71" t="s">
        <v>209</v>
      </c>
      <c r="B105" s="72" t="s">
        <v>595</v>
      </c>
    </row>
    <row r="106" spans="1:2" ht="29.4" thickBot="1" x14ac:dyDescent="0.35">
      <c r="A106" s="71" t="s">
        <v>210</v>
      </c>
      <c r="B106" s="72" t="s">
        <v>598</v>
      </c>
    </row>
    <row r="107" spans="1:2" ht="58.2" thickBot="1" x14ac:dyDescent="0.35">
      <c r="A107" s="71" t="s">
        <v>832</v>
      </c>
      <c r="B107" s="72" t="s">
        <v>601</v>
      </c>
    </row>
    <row r="108" spans="1:2" ht="58.2" thickBot="1" x14ac:dyDescent="0.35">
      <c r="A108" s="71" t="s">
        <v>212</v>
      </c>
      <c r="B108" s="72" t="s">
        <v>604</v>
      </c>
    </row>
    <row r="109" spans="1:2" ht="29.4" thickBot="1" x14ac:dyDescent="0.35">
      <c r="A109" s="71" t="s">
        <v>213</v>
      </c>
      <c r="B109" s="72" t="s">
        <v>607</v>
      </c>
    </row>
    <row r="110" spans="1:2" ht="29.4" thickBot="1" x14ac:dyDescent="0.35">
      <c r="A110" s="71" t="s">
        <v>214</v>
      </c>
      <c r="B110" s="72" t="s">
        <v>610</v>
      </c>
    </row>
    <row r="111" spans="1:2" ht="29.4" thickBot="1" x14ac:dyDescent="0.35">
      <c r="A111" s="71" t="s">
        <v>215</v>
      </c>
      <c r="B111" s="72" t="s">
        <v>613</v>
      </c>
    </row>
    <row r="112" spans="1:2" ht="58.2" thickBot="1" x14ac:dyDescent="0.35">
      <c r="A112" s="71" t="s">
        <v>216</v>
      </c>
      <c r="B112" s="72" t="s">
        <v>616</v>
      </c>
    </row>
    <row r="113" spans="1:2" ht="29.4" thickBot="1" x14ac:dyDescent="0.35">
      <c r="A113" s="71" t="s">
        <v>217</v>
      </c>
      <c r="B113" s="72" t="s">
        <v>619</v>
      </c>
    </row>
    <row r="114" spans="1:2" ht="29.4" thickBot="1" x14ac:dyDescent="0.35">
      <c r="A114" s="71" t="s">
        <v>218</v>
      </c>
      <c r="B114" s="72" t="s">
        <v>622</v>
      </c>
    </row>
    <row r="115" spans="1:2" ht="43.8" thickBot="1" x14ac:dyDescent="0.35">
      <c r="A115" s="71" t="s">
        <v>219</v>
      </c>
      <c r="B115" s="72" t="s">
        <v>625</v>
      </c>
    </row>
    <row r="116" spans="1:2" ht="43.8" thickBot="1" x14ac:dyDescent="0.35">
      <c r="A116" s="71" t="s">
        <v>220</v>
      </c>
      <c r="B116" s="72" t="s">
        <v>931</v>
      </c>
    </row>
    <row r="117" spans="1:2" ht="43.8" thickBot="1" x14ac:dyDescent="0.35">
      <c r="A117" s="71" t="s">
        <v>221</v>
      </c>
      <c r="B117" s="72" t="s">
        <v>932</v>
      </c>
    </row>
    <row r="118" spans="1:2" ht="29.4" thickBot="1" x14ac:dyDescent="0.35">
      <c r="A118" s="71" t="s">
        <v>222</v>
      </c>
      <c r="B118" s="72" t="s">
        <v>632</v>
      </c>
    </row>
    <row r="119" spans="1:2" ht="29.4" thickBot="1" x14ac:dyDescent="0.35">
      <c r="A119" s="71" t="s">
        <v>223</v>
      </c>
      <c r="B119" s="72" t="s">
        <v>635</v>
      </c>
    </row>
    <row r="120" spans="1:2" ht="29.4" thickBot="1" x14ac:dyDescent="0.35">
      <c r="A120" s="71" t="s">
        <v>224</v>
      </c>
      <c r="B120" s="72" t="s">
        <v>638</v>
      </c>
    </row>
    <row r="121" spans="1:2" ht="43.8" thickBot="1" x14ac:dyDescent="0.35">
      <c r="A121" s="71" t="s">
        <v>641</v>
      </c>
      <c r="B121" s="72" t="s">
        <v>933</v>
      </c>
    </row>
    <row r="122" spans="1:2" ht="29.4" thickBot="1" x14ac:dyDescent="0.35">
      <c r="A122" s="71" t="s">
        <v>226</v>
      </c>
      <c r="B122" s="72" t="s">
        <v>934</v>
      </c>
    </row>
    <row r="123" spans="1:2" ht="43.8" thickBot="1" x14ac:dyDescent="0.35">
      <c r="A123" s="71" t="s">
        <v>227</v>
      </c>
      <c r="B123" s="72" t="s">
        <v>648</v>
      </c>
    </row>
    <row r="124" spans="1:2" ht="43.8" thickBot="1" x14ac:dyDescent="0.35">
      <c r="A124" s="71" t="s">
        <v>228</v>
      </c>
      <c r="B124" s="72" t="s">
        <v>649</v>
      </c>
    </row>
    <row r="125" spans="1:2" ht="29.4" thickBot="1" x14ac:dyDescent="0.35">
      <c r="A125" s="71" t="s">
        <v>652</v>
      </c>
      <c r="B125" s="72" t="s">
        <v>653</v>
      </c>
    </row>
    <row r="126" spans="1:2" ht="29.4" thickBot="1" x14ac:dyDescent="0.35">
      <c r="A126" s="71" t="s">
        <v>656</v>
      </c>
      <c r="B126" s="72" t="s">
        <v>657</v>
      </c>
    </row>
    <row r="127" spans="1:2" ht="43.8" thickBot="1" x14ac:dyDescent="0.35">
      <c r="A127" s="71" t="s">
        <v>230</v>
      </c>
      <c r="B127" s="72" t="s">
        <v>660</v>
      </c>
    </row>
    <row r="128" spans="1:2" ht="43.8" thickBot="1" x14ac:dyDescent="0.35">
      <c r="A128" s="71" t="s">
        <v>231</v>
      </c>
      <c r="B128" s="72" t="s">
        <v>663</v>
      </c>
    </row>
    <row r="129" spans="1:2" ht="43.8" thickBot="1" x14ac:dyDescent="0.35">
      <c r="A129" s="71" t="s">
        <v>232</v>
      </c>
      <c r="B129" s="72" t="s">
        <v>664</v>
      </c>
    </row>
    <row r="130" spans="1:2" ht="58.2" thickBot="1" x14ac:dyDescent="0.35">
      <c r="A130" s="71" t="s">
        <v>667</v>
      </c>
      <c r="B130" s="72" t="s">
        <v>668</v>
      </c>
    </row>
    <row r="131" spans="1:2" ht="58.2" thickBot="1" x14ac:dyDescent="0.35">
      <c r="A131" s="71" t="s">
        <v>234</v>
      </c>
      <c r="B131" s="72" t="s">
        <v>669</v>
      </c>
    </row>
    <row r="132" spans="1:2" ht="29.4" thickBot="1" x14ac:dyDescent="0.35">
      <c r="A132" s="71" t="s">
        <v>672</v>
      </c>
      <c r="B132" s="72" t="s">
        <v>673</v>
      </c>
    </row>
    <row r="133" spans="1:2" ht="43.8" thickBot="1" x14ac:dyDescent="0.35">
      <c r="A133" s="71" t="s">
        <v>236</v>
      </c>
      <c r="B133" s="72" t="s">
        <v>676</v>
      </c>
    </row>
    <row r="134" spans="1:2" ht="28.8" x14ac:dyDescent="0.3">
      <c r="A134" s="73" t="s">
        <v>235</v>
      </c>
      <c r="B134" s="73" t="s">
        <v>679</v>
      </c>
    </row>
    <row r="135" spans="1:2" ht="43.8" thickBot="1" x14ac:dyDescent="0.35">
      <c r="A135" s="71" t="s">
        <v>236</v>
      </c>
      <c r="B135" s="72" t="s">
        <v>676</v>
      </c>
    </row>
    <row r="136" spans="1:2" ht="29.4" thickBot="1" x14ac:dyDescent="0.35">
      <c r="A136" s="71" t="s">
        <v>684</v>
      </c>
      <c r="B136" s="72" t="s">
        <v>685</v>
      </c>
    </row>
    <row r="137" spans="1:2" ht="43.8" thickBot="1" x14ac:dyDescent="0.35">
      <c r="A137" s="71" t="s">
        <v>238</v>
      </c>
      <c r="B137" s="72" t="s">
        <v>686</v>
      </c>
    </row>
    <row r="138" spans="1:2" ht="29.4" thickBot="1" x14ac:dyDescent="0.35">
      <c r="A138" s="71" t="s">
        <v>239</v>
      </c>
      <c r="B138" s="72" t="s">
        <v>689</v>
      </c>
    </row>
    <row r="139" spans="1:2" ht="43.8" thickBot="1" x14ac:dyDescent="0.35">
      <c r="A139" s="71" t="s">
        <v>240</v>
      </c>
      <c r="B139" s="72" t="s">
        <v>692</v>
      </c>
    </row>
    <row r="140" spans="1:2" ht="29.4" thickBot="1" x14ac:dyDescent="0.35">
      <c r="A140" s="71" t="s">
        <v>241</v>
      </c>
      <c r="B140" s="72" t="s">
        <v>695</v>
      </c>
    </row>
    <row r="141" spans="1:2" ht="29.4" thickBot="1" x14ac:dyDescent="0.35">
      <c r="A141" s="71" t="s">
        <v>242</v>
      </c>
      <c r="B141" s="72" t="s">
        <v>698</v>
      </c>
    </row>
    <row r="142" spans="1:2" ht="29.4" thickBot="1" x14ac:dyDescent="0.35">
      <c r="A142" s="71" t="s">
        <v>243</v>
      </c>
      <c r="B142" s="72" t="s">
        <v>701</v>
      </c>
    </row>
    <row r="143" spans="1:2" ht="43.8" thickBot="1" x14ac:dyDescent="0.35">
      <c r="A143" s="71" t="s">
        <v>244</v>
      </c>
      <c r="B143" s="72" t="s">
        <v>704</v>
      </c>
    </row>
    <row r="144" spans="1:2" ht="43.8" thickBot="1" x14ac:dyDescent="0.35">
      <c r="A144" s="71" t="s">
        <v>245</v>
      </c>
      <c r="B144" s="72" t="s">
        <v>705</v>
      </c>
    </row>
    <row r="145" spans="1:2" ht="29.4" thickBot="1" x14ac:dyDescent="0.35">
      <c r="A145" s="71" t="s">
        <v>246</v>
      </c>
      <c r="B145" s="72" t="s">
        <v>708</v>
      </c>
    </row>
    <row r="146" spans="1:2" ht="29.4" thickBot="1" x14ac:dyDescent="0.35">
      <c r="A146" s="71" t="s">
        <v>711</v>
      </c>
      <c r="B146" s="72" t="s">
        <v>935</v>
      </c>
    </row>
    <row r="147" spans="1:2" ht="43.8" thickBot="1" x14ac:dyDescent="0.35">
      <c r="A147" s="71" t="s">
        <v>247</v>
      </c>
      <c r="B147" s="72" t="s">
        <v>715</v>
      </c>
    </row>
    <row r="148" spans="1:2" ht="43.8" thickBot="1" x14ac:dyDescent="0.35">
      <c r="A148" s="71" t="s">
        <v>248</v>
      </c>
      <c r="B148" s="72" t="s">
        <v>718</v>
      </c>
    </row>
    <row r="149" spans="1:2" ht="29.4" thickBot="1" x14ac:dyDescent="0.35">
      <c r="A149" s="71" t="s">
        <v>249</v>
      </c>
      <c r="B149" s="72" t="s">
        <v>721</v>
      </c>
    </row>
    <row r="150" spans="1:2" ht="29.4" thickBot="1" x14ac:dyDescent="0.35">
      <c r="A150" s="71" t="s">
        <v>250</v>
      </c>
      <c r="B150" s="72" t="s">
        <v>724</v>
      </c>
    </row>
    <row r="151" spans="1:2" ht="29.4" thickBot="1" x14ac:dyDescent="0.35">
      <c r="A151" s="71" t="s">
        <v>251</v>
      </c>
      <c r="B151" s="72" t="s">
        <v>725</v>
      </c>
    </row>
    <row r="152" spans="1:2" ht="29.4" thickBot="1" x14ac:dyDescent="0.35">
      <c r="A152" s="68" t="s">
        <v>252</v>
      </c>
      <c r="B152" s="72" t="s">
        <v>728</v>
      </c>
    </row>
    <row r="153" spans="1:2" ht="58.2" thickBot="1" x14ac:dyDescent="0.35">
      <c r="A153" s="68" t="s">
        <v>853</v>
      </c>
      <c r="B153" s="72" t="s">
        <v>936</v>
      </c>
    </row>
    <row r="154" spans="1:2" ht="43.8" thickBot="1" x14ac:dyDescent="0.35">
      <c r="A154" s="71" t="s">
        <v>732</v>
      </c>
      <c r="B154" s="72" t="s">
        <v>733</v>
      </c>
    </row>
    <row r="155" spans="1:2" ht="43.8" thickBot="1" x14ac:dyDescent="0.35">
      <c r="A155" s="71" t="s">
        <v>254</v>
      </c>
      <c r="B155" s="72" t="s">
        <v>736</v>
      </c>
    </row>
    <row r="156" spans="1:2" ht="43.2" x14ac:dyDescent="0.3">
      <c r="A156" s="73" t="s">
        <v>255</v>
      </c>
      <c r="B156" s="73" t="s">
        <v>737</v>
      </c>
    </row>
    <row r="157" spans="1:2" ht="15" thickBot="1" x14ac:dyDescent="0.35">
      <c r="A157" s="71"/>
      <c r="B157" s="71"/>
    </row>
    <row r="158" spans="1:2" ht="43.8" thickBot="1" x14ac:dyDescent="0.35">
      <c r="A158" s="71" t="s">
        <v>738</v>
      </c>
      <c r="B158" s="72" t="s">
        <v>739</v>
      </c>
    </row>
    <row r="159" spans="1:2" ht="29.4" thickBot="1" x14ac:dyDescent="0.35">
      <c r="A159" s="71" t="s">
        <v>256</v>
      </c>
      <c r="B159" s="72" t="s">
        <v>740</v>
      </c>
    </row>
    <row r="160" spans="1:2" ht="29.4" thickBot="1" x14ac:dyDescent="0.35">
      <c r="A160" s="71" t="s">
        <v>257</v>
      </c>
      <c r="B160" s="72" t="s">
        <v>743</v>
      </c>
    </row>
    <row r="161" spans="1:2" ht="29.4" thickBot="1" x14ac:dyDescent="0.35">
      <c r="A161" s="71" t="s">
        <v>258</v>
      </c>
      <c r="B161" s="72" t="s">
        <v>744</v>
      </c>
    </row>
    <row r="162" spans="1:2" ht="29.4" thickBot="1" x14ac:dyDescent="0.35">
      <c r="A162" s="71" t="s">
        <v>259</v>
      </c>
      <c r="B162" s="72" t="s">
        <v>745</v>
      </c>
    </row>
    <row r="163" spans="1:2" ht="29.4" thickBot="1" x14ac:dyDescent="0.35">
      <c r="A163" s="71" t="s">
        <v>260</v>
      </c>
      <c r="B163" s="72" t="s">
        <v>746</v>
      </c>
    </row>
    <row r="164" spans="1:2" ht="43.2" x14ac:dyDescent="0.3">
      <c r="A164" s="73" t="s">
        <v>261</v>
      </c>
      <c r="B164" s="73" t="s">
        <v>749</v>
      </c>
    </row>
    <row r="165" spans="1:2" ht="29.4" thickBot="1" x14ac:dyDescent="0.35">
      <c r="A165" s="71" t="s">
        <v>262</v>
      </c>
      <c r="B165" s="72" t="s">
        <v>752</v>
      </c>
    </row>
    <row r="166" spans="1:2" ht="43.8" thickBot="1" x14ac:dyDescent="0.35">
      <c r="A166" s="71" t="s">
        <v>753</v>
      </c>
      <c r="B166" s="72" t="s">
        <v>754</v>
      </c>
    </row>
    <row r="167" spans="1:2" ht="43.8" thickBot="1" x14ac:dyDescent="0.35">
      <c r="A167" s="71" t="s">
        <v>264</v>
      </c>
      <c r="B167" s="72" t="s">
        <v>757</v>
      </c>
    </row>
    <row r="168" spans="1:2" ht="29.4" thickBot="1" x14ac:dyDescent="0.35">
      <c r="A168" s="68" t="s">
        <v>265</v>
      </c>
      <c r="B168" s="72" t="s">
        <v>760</v>
      </c>
    </row>
    <row r="169" spans="1:2" ht="29.4" thickBot="1" x14ac:dyDescent="0.35">
      <c r="A169" s="71" t="s">
        <v>266</v>
      </c>
      <c r="B169" s="72" t="s">
        <v>763</v>
      </c>
    </row>
    <row r="170" spans="1:2" ht="29.4" thickBot="1" x14ac:dyDescent="0.35">
      <c r="A170" s="71" t="s">
        <v>764</v>
      </c>
      <c r="B170" s="72" t="s">
        <v>765</v>
      </c>
    </row>
    <row r="171" spans="1:2" ht="29.4" thickBot="1" x14ac:dyDescent="0.35">
      <c r="A171" s="71" t="s">
        <v>268</v>
      </c>
      <c r="B171" s="72" t="s">
        <v>768</v>
      </c>
    </row>
    <row r="172" spans="1:2" ht="29.4" thickBot="1" x14ac:dyDescent="0.35">
      <c r="A172" s="71" t="s">
        <v>269</v>
      </c>
      <c r="B172" s="72" t="s">
        <v>769</v>
      </c>
    </row>
    <row r="173" spans="1:2" ht="43.8" thickBot="1" x14ac:dyDescent="0.35">
      <c r="A173" s="71" t="s">
        <v>270</v>
      </c>
      <c r="B173" s="72" t="s">
        <v>770</v>
      </c>
    </row>
    <row r="174" spans="1:2" ht="43.8" thickBot="1" x14ac:dyDescent="0.35">
      <c r="A174" s="71" t="s">
        <v>771</v>
      </c>
      <c r="B174" s="72" t="s">
        <v>772</v>
      </c>
    </row>
    <row r="175" spans="1:2" ht="29.4" thickBot="1" x14ac:dyDescent="0.35">
      <c r="A175" s="71" t="s">
        <v>773</v>
      </c>
      <c r="B175" s="72" t="s">
        <v>774</v>
      </c>
    </row>
    <row r="176" spans="1:2" ht="29.4" thickBot="1" x14ac:dyDescent="0.35">
      <c r="A176" s="68" t="s">
        <v>271</v>
      </c>
      <c r="B176" s="72" t="s">
        <v>777</v>
      </c>
    </row>
    <row r="177" spans="1:2" ht="29.4" thickBot="1" x14ac:dyDescent="0.35">
      <c r="A177" s="71" t="s">
        <v>272</v>
      </c>
      <c r="B177" s="72" t="s">
        <v>778</v>
      </c>
    </row>
    <row r="178" spans="1:2" ht="43.8" thickBot="1" x14ac:dyDescent="0.35">
      <c r="A178" s="71" t="s">
        <v>779</v>
      </c>
      <c r="B178" s="72" t="s">
        <v>780</v>
      </c>
    </row>
    <row r="179" spans="1:2" ht="29.4" thickBot="1" x14ac:dyDescent="0.35">
      <c r="A179" s="71" t="s">
        <v>1132</v>
      </c>
      <c r="B179" s="72" t="s">
        <v>784</v>
      </c>
    </row>
    <row r="180" spans="1:2" ht="29.4" thickBot="1" x14ac:dyDescent="0.35">
      <c r="A180" s="71" t="s">
        <v>787</v>
      </c>
      <c r="B180" s="72" t="s">
        <v>788</v>
      </c>
    </row>
    <row r="181" spans="1:2" ht="29.4" thickBot="1" x14ac:dyDescent="0.35">
      <c r="A181" s="71" t="s">
        <v>275</v>
      </c>
      <c r="B181" s="72" t="s">
        <v>789</v>
      </c>
    </row>
  </sheetData>
  <sortState ref="A2:B102">
    <sortCondition ref="A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28</vt:i4>
      </vt:variant>
    </vt:vector>
  </HeadingPairs>
  <TitlesOfParts>
    <vt:vector size="35" baseType="lpstr">
      <vt:lpstr>CTO Inspection English</vt:lpstr>
      <vt:lpstr>IID English</vt:lpstr>
      <vt:lpstr>Variables</vt:lpstr>
      <vt:lpstr>Sheet1</vt:lpstr>
      <vt:lpstr>Sheet2</vt:lpstr>
      <vt:lpstr>Sheet3</vt:lpstr>
      <vt:lpstr>Sheet4</vt:lpstr>
      <vt:lpstr>Activities_English_Choices</vt:lpstr>
      <vt:lpstr>Activities_French_Choices</vt:lpstr>
      <vt:lpstr>Currently_Registered</vt:lpstr>
      <vt:lpstr>Deficiency_English_Choices</vt:lpstr>
      <vt:lpstr>Deficiency_French_Choices</vt:lpstr>
      <vt:lpstr>Establishment_Name_Choices</vt:lpstr>
      <vt:lpstr>Inspection_Outcome_English_Choices</vt:lpstr>
      <vt:lpstr>Inspection_Outcome_French_Choices</vt:lpstr>
      <vt:lpstr>Inspection_Regulation_English_Choices</vt:lpstr>
      <vt:lpstr>Inspection_Regulation_French_Choices</vt:lpstr>
      <vt:lpstr>Inspection_Type_English_Choices</vt:lpstr>
      <vt:lpstr>Inspection_Type_FR</vt:lpstr>
      <vt:lpstr>Inspection_Type_French_Choices</vt:lpstr>
      <vt:lpstr>Line_Deficiency_English_Choices</vt:lpstr>
      <vt:lpstr>Line_Deficiency_French_Choices</vt:lpstr>
      <vt:lpstr>Line_English_Choices</vt:lpstr>
      <vt:lpstr>Line_French_Choices</vt:lpstr>
      <vt:lpstr>Measure_Taken_English_Choices</vt:lpstr>
      <vt:lpstr>Measure_Taken_French_Choices</vt:lpstr>
      <vt:lpstr>Observation_English_Choices</vt:lpstr>
      <vt:lpstr>Observation_French_Choices</vt:lpstr>
      <vt:lpstr>Phase_of_Trial_Choices</vt:lpstr>
      <vt:lpstr>Rating_English_Choices</vt:lpstr>
      <vt:lpstr>Rating_French_Choices</vt:lpstr>
      <vt:lpstr>Regional_Site_Inspected_English_Choices</vt:lpstr>
      <vt:lpstr>Regional_Site_Inspected_French_Choices</vt:lpstr>
      <vt:lpstr>Regulation_English_Choices</vt:lpstr>
      <vt:lpstr>Regulation_French_Choices</vt:lpstr>
    </vt:vector>
  </TitlesOfParts>
  <Company>Health Canada - Santé Canada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Lin</dc:creator>
  <cp:lastModifiedBy>Erik M Gauthier</cp:lastModifiedBy>
  <cp:lastPrinted>2015-10-09T16:31:51Z</cp:lastPrinted>
  <dcterms:created xsi:type="dcterms:W3CDTF">2015-10-08T18:52:25Z</dcterms:created>
  <dcterms:modified xsi:type="dcterms:W3CDTF">2017-09-22T16:04:20Z</dcterms:modified>
</cp:coreProperties>
</file>